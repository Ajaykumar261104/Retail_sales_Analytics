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907ED892-9A09-4E52-A3E7-507BF342D7F1}" xr6:coauthVersionLast="47" xr6:coauthVersionMax="47" xr10:uidLastSave="{00000000-0000-0000-0000-000000000000}"/>
  <bookViews>
    <workbookView xWindow="-120" yWindow="-120" windowWidth="20730" windowHeight="11040" activeTab="1" xr2:uid="{5ED111F3-8F77-4E31-9D33-5F3FA1D7A313}"/>
  </bookViews>
  <sheets>
    <sheet name="order_items" sheetId="1" r:id="rId1"/>
    <sheet name="Product" sheetId="2" r:id="rId2"/>
    <sheet name="category" sheetId="3" r:id="rId3"/>
    <sheet name="Pivot table" sheetId="6" r:id="rId4"/>
  </sheets>
  <definedNames>
    <definedName name="_xlnm._FilterDatabase" localSheetId="0" hidden="1">order_items!$A$1:$H$4723</definedName>
    <definedName name="_xlnm._FilterDatabase" localSheetId="1" hidden="1">Product!$A$1:$H$1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2" i="1"/>
</calcChain>
</file>

<file path=xl/sharedStrings.xml><?xml version="1.0" encoding="utf-8"?>
<sst xmlns="http://schemas.openxmlformats.org/spreadsheetml/2006/main" count="357" uniqueCount="316">
  <si>
    <t>order_id</t>
  </si>
  <si>
    <t>item_id</t>
  </si>
  <si>
    <t>product_id</t>
  </si>
  <si>
    <t>quantity</t>
  </si>
  <si>
    <t>list_price</t>
  </si>
  <si>
    <t>discount</t>
  </si>
  <si>
    <t>Total  Price</t>
  </si>
  <si>
    <t>product_name</t>
  </si>
  <si>
    <t>brand_id</t>
  </si>
  <si>
    <t>category_id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</si>
  <si>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</si>
  <si>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</si>
  <si>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</si>
  <si>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</si>
  <si>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</si>
  <si>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</si>
  <si>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</si>
  <si>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</si>
  <si>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</si>
  <si>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</si>
  <si>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</si>
  <si>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</si>
  <si>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</si>
  <si>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</si>
  <si>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</si>
  <si>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</si>
  <si>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</si>
  <si>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</si>
  <si>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</si>
  <si>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</si>
  <si>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</si>
  <si>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</si>
  <si>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</si>
  <si>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</si>
  <si>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</si>
  <si>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</si>
  <si>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</si>
  <si>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</si>
  <si>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</si>
  <si>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</si>
  <si>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</si>
  <si>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</si>
  <si>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</si>
  <si>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</si>
  <si>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</si>
  <si>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</si>
  <si>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</si>
  <si>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</si>
  <si>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</si>
  <si>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</si>
  <si>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</si>
  <si>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</si>
  <si>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</si>
  <si>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</si>
  <si>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</si>
  <si>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</si>
  <si>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</si>
  <si>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</si>
  <si>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</si>
  <si>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</si>
  <si>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</si>
  <si>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</si>
  <si>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</si>
  <si>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</si>
  <si>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</si>
  <si>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</si>
  <si>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</si>
  <si>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</si>
  <si>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</si>
  <si>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</si>
  <si>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</si>
  <si>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</si>
  <si>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</si>
  <si>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</si>
  <si>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</si>
  <si>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</si>
  <si>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</si>
  <si>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</si>
  <si>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</si>
  <si>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</si>
  <si>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</si>
  <si>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</si>
  <si>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</si>
  <si>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</si>
  <si>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</si>
  <si>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</si>
  <si>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</si>
  <si>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</si>
  <si>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</si>
  <si>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</si>
  <si>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</si>
  <si>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</si>
  <si>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</si>
  <si>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</si>
  <si>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</si>
  <si>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</si>
  <si>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</si>
  <si>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</si>
  <si>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</si>
  <si>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</si>
  <si>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</si>
  <si>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</si>
  <si>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</si>
  <si>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</si>
  <si>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</si>
  <si>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</si>
  <si>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</si>
  <si>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</si>
  <si>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</si>
  <si>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</si>
  <si>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</si>
  <si>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</si>
  <si>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</si>
  <si>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</si>
  <si>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</si>
  <si>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</si>
  <si>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</si>
  <si>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</si>
  <si>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</si>
  <si>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</si>
  <si>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</si>
  <si>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</si>
  <si>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</si>
  <si>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</si>
  <si>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</si>
  <si>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</si>
  <si>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</si>
  <si>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</si>
  <si>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</si>
  <si>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</si>
  <si>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</si>
  <si>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</si>
  <si>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</si>
  <si>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</si>
  <si>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</si>
  <si>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</si>
  <si>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</si>
  <si>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</si>
  <si>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</si>
  <si>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</si>
  <si>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</si>
  <si>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</si>
  <si>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</si>
  <si>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</si>
  <si>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</si>
  <si>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</si>
  <si>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</si>
  <si>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</si>
  <si>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</si>
  <si>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</si>
  <si>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</si>
  <si>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</si>
  <si>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</si>
  <si>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</si>
  <si>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</si>
  <si>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</si>
  <si>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</si>
  <si>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</si>
  <si>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</si>
  <si>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</si>
  <si>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</si>
  <si>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</si>
  <si>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</si>
  <si>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</si>
  <si>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</si>
  <si>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</si>
  <si>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</si>
  <si>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</si>
  <si>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</si>
  <si>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</si>
  <si>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</si>
  <si>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</si>
  <si>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</si>
  <si>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</si>
  <si>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</si>
  <si>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</si>
  <si>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</si>
  <si>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</si>
  <si>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</si>
  <si>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</si>
  <si>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</si>
  <si>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</si>
  <si>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</si>
  <si>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</si>
  <si>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</si>
  <si>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</si>
  <si>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</si>
  <si>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</si>
  <si>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</si>
  <si>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</si>
  <si>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</si>
  <si>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</si>
  <si>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</si>
  <si>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</si>
  <si>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</si>
  <si>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</si>
  <si>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</si>
  <si>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</si>
  <si>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</si>
  <si>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</si>
  <si>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</si>
  <si>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</si>
  <si>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</si>
  <si>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</si>
  <si>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</si>
  <si>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</si>
  <si>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</si>
  <si>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</si>
  <si>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</si>
  <si>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</si>
  <si>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</si>
  <si>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</si>
  <si>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</si>
  <si>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</si>
  <si>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</si>
  <si>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</si>
  <si>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</si>
  <si>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</si>
  <si>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</si>
  <si>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</si>
  <si>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</si>
  <si>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</si>
  <si>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</si>
  <si>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</si>
  <si>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</si>
  <si>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</si>
  <si>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</si>
  <si>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</si>
  <si>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</si>
  <si>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</si>
  <si>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</si>
  <si>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</si>
  <si>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</si>
  <si>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</si>
  <si>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</si>
  <si>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</si>
  <si>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</si>
  <si>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</si>
  <si>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</si>
  <si>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</si>
  <si>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</si>
  <si>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</si>
  <si>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</si>
  <si>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</si>
  <si>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</si>
  <si>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</si>
  <si>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</si>
  <si>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</si>
  <si>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</si>
  <si>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</si>
  <si>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</si>
  <si>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</si>
  <si>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</si>
  <si>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</si>
  <si>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</si>
  <si>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</si>
  <si>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</si>
  <si>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</si>
  <si>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</si>
  <si>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</si>
  <si>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</si>
  <si>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</si>
  <si>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</si>
  <si>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</si>
  <si>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</si>
  <si>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</si>
  <si>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</si>
  <si>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</si>
  <si>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</si>
  <si>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</si>
  <si>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</si>
  <si>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</si>
  <si>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</si>
  <si>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</si>
  <si>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</si>
  <si>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</si>
  <si>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</si>
  <si>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</si>
  <si>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</si>
  <si>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</si>
  <si>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</si>
  <si>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</si>
  <si>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</si>
  <si>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</si>
  <si>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</si>
  <si>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</si>
  <si>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</si>
  <si>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</si>
  <si>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</si>
  <si>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</si>
  <si>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</si>
  <si>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</si>
  <si>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</si>
  <si>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</si>
  <si>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</si>
  <si>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</si>
  <si>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</si>
  <si>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</si>
  <si>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</si>
  <si>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</si>
  <si>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</si>
  <si>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</si>
  <si>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Product_Name</t>
  </si>
  <si>
    <t>Product Category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</si>
  <si>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</si>
  <si>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</si>
  <si>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</si>
  <si>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</si>
  <si>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</si>
  <si>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</si>
  <si>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</si>
  <si>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</si>
  <si>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Total sales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</si>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</sst>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[order_items.xlsx]Pivot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table'!$A$2:$A$9</c:f>
              <c:strCache>
                <c:ptCount val="7"/>
                <c:pt idx="0">
                  <c:v>Children Bicycles</c:v>
                </c:pt>
                <c:pt idx="1">
                  <c:v>Comfort Bicycles</c:v>
                </c:pt>
                <c:pt idx="2">
                  <c:v>Cruisers Bicycles</c:v>
                </c:pt>
                <c:pt idx="3">
                  <c:v>Cyclocross Bicycles</c:v>
                </c:pt>
                <c:pt idx="4">
                  <c:v>Electric Bikes</c:v>
                </c:pt>
                <c:pt idx="5">
                  <c:v>Mountain Bikes</c:v>
                </c:pt>
                <c:pt idx="6">
                  <c:v>Road Bikes</c:v>
                </c:pt>
              </c:strCache>
            </c:strRef>
          </c:cat>
          <c:val>
            <c:numRef>
              <c:f>'Pivot table'!$B$2:$B$9</c:f>
              <c:numCache>
                <c:formatCode>General</c:formatCode>
                <c:ptCount val="7"/>
                <c:pt idx="0">
                  <c:v>96886.829999999973</c:v>
                </c:pt>
                <c:pt idx="1">
                  <c:v>47090.55999999999</c:v>
                </c:pt>
                <c:pt idx="2">
                  <c:v>118050.4</c:v>
                </c:pt>
                <c:pt idx="3">
                  <c:v>14213.999999999996</c:v>
                </c:pt>
                <c:pt idx="4">
                  <c:v>20005.78</c:v>
                </c:pt>
                <c:pt idx="5">
                  <c:v>87895.839999999967</c:v>
                </c:pt>
                <c:pt idx="6">
                  <c:v>73152.909999999989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4E8C-8110-C63FFD065E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89957296"/>
        <c:axId val="745859696"/>
      </c:barChart>
      <c:catAx>
        <c:axId val="6899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59696"/>
        <c:crosses val="autoZero"/>
        <c:auto val="1"/>
        <c:lblAlgn val="ctr"/>
        <c:lblOffset val="100"/>
        <c:noMultiLvlLbl val="0"/>
      </c:catAx>
      <c:valAx>
        <c:axId val="74585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5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185737</xdr:rowOff>
    </xdr:from>
    <xdr:to>
      <xdr:col>10</xdr:col>
      <xdr:colOff>304800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8EC00-3850-4D83-7E68-4C0299B03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11.746252893521" createdVersion="8" refreshedVersion="8" minRefreshableVersion="3" recordCount="321" xr:uid="{2E8405EC-BE3F-437A-B589-A0C775493905}">
  <cacheSource type="worksheet">
    <worksheetSource ref="A1:H322" sheet="Product"/>
  </cacheSource>
  <cacheFields count="8">
    <cacheField name="product_id" numFmtId="0">
      <sharedItems containsSemiMixedTypes="0" containsString="0" containsNumber="1" containsInteger="1" minValue="1" maxValue="321"/>
    </cacheField>
    <cacheField name="product_name" numFmtId="0">
      <sharedItems/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/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minValue="89.99" maxValue="11999.99"/>
    </cacheField>
    <cacheField name="Product Category" numFmtId="0">
      <sharedItems count="7">
        <s v="Mountain Bikes"/>
        <s v="Electric Bikes"/>
        <s v="Cyclocross Bicycles"/>
        <s v="Cruisers Bicycles"/>
        <s v="Children Bicycles"/>
        <s v="Comfort Bicycles"/>
        <s v="Road Bikes"/>
      </sharedItems>
    </cacheField>
    <cacheField name="Total sales" numFmtId="0">
      <sharedItems containsSemiMixedTypes="0" containsString="0" containsNumber="1" minValue="269.79000000000002" maxValue="7999.92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"/>
    <s v="Trek 820 - 2016"/>
    <n v="9"/>
    <n v="6"/>
    <n v="2016"/>
    <n v="379.99"/>
    <x v="0"/>
    <n v="599.79"/>
  </r>
  <r>
    <n v="2"/>
    <s v="Ritchey Timberwolf Frameset - 2016"/>
    <n v="5"/>
    <n v="6"/>
    <n v="2016"/>
    <n v="749.99"/>
    <x v="0"/>
    <n v="3599.91"/>
  </r>
  <r>
    <n v="3"/>
    <s v="Surly Wednesday Frameset - 2016"/>
    <n v="8"/>
    <n v="6"/>
    <n v="2016"/>
    <n v="999.99"/>
    <x v="0"/>
    <n v="3097.95"/>
  </r>
  <r>
    <n v="4"/>
    <s v="Trek Fuel EX 8 29 - 2016"/>
    <n v="9"/>
    <n v="6"/>
    <n v="2016"/>
    <n v="2899.99"/>
    <x v="0"/>
    <n v="1199.93"/>
  </r>
  <r>
    <n v="5"/>
    <s v="Heller Shagamaw Frame - 2016"/>
    <n v="3"/>
    <n v="6"/>
    <n v="2016"/>
    <n v="1320.99"/>
    <x v="0"/>
    <n v="2899.79"/>
  </r>
  <r>
    <n v="6"/>
    <s v="Surly Ice Cream Truck Frameset - 2016"/>
    <n v="8"/>
    <n v="6"/>
    <n v="2016"/>
    <n v="469.99"/>
    <x v="0"/>
    <n v="599.91999999999996"/>
  </r>
  <r>
    <n v="7"/>
    <s v="Trek Slash 8 27.5 - 2016"/>
    <n v="9"/>
    <n v="6"/>
    <n v="2016"/>
    <n v="3999.99"/>
    <x v="0"/>
    <n v="1199.93"/>
  </r>
  <r>
    <n v="8"/>
    <s v="Trek Remedy 29 Carbon Frameset - 2016"/>
    <n v="9"/>
    <n v="6"/>
    <n v="2016"/>
    <n v="1799.99"/>
    <x v="0"/>
    <n v="999.94"/>
  </r>
  <r>
    <n v="9"/>
    <s v="Trek Conduit+ - 2016"/>
    <n v="9"/>
    <n v="5"/>
    <n v="2016"/>
    <n v="2999.99"/>
    <x v="1"/>
    <n v="599.94000000000005"/>
  </r>
  <r>
    <n v="10"/>
    <s v="Surly Straggler - 2016"/>
    <n v="8"/>
    <n v="4"/>
    <n v="2016"/>
    <n v="1549"/>
    <x v="2"/>
    <n v="1499.88"/>
  </r>
  <r>
    <n v="11"/>
    <s v="Surly Straggler 650b - 2016"/>
    <n v="8"/>
    <n v="4"/>
    <n v="2016"/>
    <n v="1680.99"/>
    <x v="2"/>
    <n v="3097.95"/>
  </r>
  <r>
    <n v="12"/>
    <s v="Electra Townie Original 21D - 2016"/>
    <n v="1"/>
    <n v="3"/>
    <n v="2016"/>
    <n v="549.99"/>
    <x v="3"/>
    <n v="428.93"/>
  </r>
  <r>
    <n v="13"/>
    <s v="Electra Cruiser 1 (24-Inch) - 2016"/>
    <n v="1"/>
    <n v="3"/>
    <n v="2016"/>
    <n v="269.99"/>
    <x v="3"/>
    <n v="599.91999999999996"/>
  </r>
  <r>
    <n v="14"/>
    <s v="Electra Girl's Hawaii 1 (16-inch) - 2015/2016"/>
    <n v="1"/>
    <n v="3"/>
    <n v="2016"/>
    <n v="269.99"/>
    <x v="3"/>
    <n v="448.93"/>
  </r>
  <r>
    <n v="15"/>
    <s v="Electra Moto 1 - 2016"/>
    <n v="1"/>
    <n v="3"/>
    <n v="2016"/>
    <n v="529.99"/>
    <x v="3"/>
    <n v="1099.93"/>
  </r>
  <r>
    <n v="16"/>
    <s v="Electra Townie Original 7D EQ - 2016"/>
    <n v="1"/>
    <n v="3"/>
    <n v="2016"/>
    <n v="599.99"/>
    <x v="3"/>
    <n v="599.89"/>
  </r>
  <r>
    <n v="17"/>
    <s v="Pure Cycles Vine 8-Speed - 2016"/>
    <n v="4"/>
    <n v="3"/>
    <n v="2016"/>
    <n v="429"/>
    <x v="3"/>
    <n v="1999.91"/>
  </r>
  <r>
    <n v="18"/>
    <s v="Pure Cycles Western 3-Speed - Women's - 2015/2016"/>
    <n v="4"/>
    <n v="3"/>
    <n v="2016"/>
    <n v="449"/>
    <x v="3"/>
    <n v="5999.91"/>
  </r>
  <r>
    <n v="19"/>
    <s v="Pure Cycles William 3-Speed - 2016"/>
    <n v="4"/>
    <n v="3"/>
    <n v="2016"/>
    <n v="449"/>
    <x v="3"/>
    <n v="529.91999999999996"/>
  </r>
  <r>
    <n v="20"/>
    <s v="Electra Townie Original 7D EQ - Women's - 2016"/>
    <n v="1"/>
    <n v="3"/>
    <n v="2016"/>
    <n v="599.99"/>
    <x v="3"/>
    <n v="999.89"/>
  </r>
  <r>
    <n v="21"/>
    <s v="Electra Cruiser 1 (24-Inch) - 2016"/>
    <n v="1"/>
    <n v="1"/>
    <n v="2016"/>
    <n v="269.99"/>
    <x v="4"/>
    <n v="857.9"/>
  </r>
  <r>
    <n v="22"/>
    <s v="Electra Girl's Hawaii 1 (16-inch) - 2015/2016"/>
    <n v="1"/>
    <n v="1"/>
    <n v="2016"/>
    <n v="269.99"/>
    <x v="4"/>
    <n v="269.94"/>
  </r>
  <r>
    <n v="23"/>
    <s v="Electra Girl's Hawaii 1 (20-inch) - 2015/2016"/>
    <n v="1"/>
    <n v="1"/>
    <n v="2016"/>
    <n v="299.99"/>
    <x v="4"/>
    <n v="1199.9100000000001"/>
  </r>
  <r>
    <n v="24"/>
    <s v="Electra Townie Original 21D - 2016"/>
    <n v="1"/>
    <n v="2"/>
    <n v="2016"/>
    <n v="549.99"/>
    <x v="5"/>
    <n v="7999.8799999999992"/>
  </r>
  <r>
    <n v="25"/>
    <s v="Electra Townie Original 7D - 2015/2016"/>
    <n v="1"/>
    <n v="2"/>
    <n v="2016"/>
    <n v="499.99"/>
    <x v="5"/>
    <n v="269.89"/>
  </r>
  <r>
    <n v="26"/>
    <s v="Electra Townie Original 7D EQ - 2016"/>
    <n v="1"/>
    <n v="2"/>
    <n v="2016"/>
    <n v="599.99"/>
    <x v="5"/>
    <n v="1799.94"/>
  </r>
  <r>
    <n v="27"/>
    <s v="Surly Big Dummy Frameset - 2017"/>
    <n v="8"/>
    <n v="6"/>
    <n v="2017"/>
    <n v="999.99"/>
    <x v="0"/>
    <n v="539.88"/>
  </r>
  <r>
    <n v="28"/>
    <s v="Surly Karate Monkey 27.5+ Frameset - 2017"/>
    <n v="8"/>
    <n v="6"/>
    <n v="2017"/>
    <n v="2499.9899999999998"/>
    <x v="0"/>
    <n v="1199.78"/>
  </r>
  <r>
    <n v="29"/>
    <s v="Trek X-Caliber 8 - 2017"/>
    <n v="9"/>
    <n v="6"/>
    <n v="2017"/>
    <n v="999.99"/>
    <x v="0"/>
    <n v="5799.8799999999992"/>
  </r>
  <r>
    <n v="30"/>
    <s v="Surly Ice Cream Truck Frameset - 2017"/>
    <n v="8"/>
    <n v="6"/>
    <n v="2017"/>
    <n v="999.99"/>
    <x v="0"/>
    <n v="1680.94"/>
  </r>
  <r>
    <n v="31"/>
    <s v="Surly Wednesday - 2017"/>
    <n v="8"/>
    <n v="6"/>
    <n v="2017"/>
    <n v="1632.99"/>
    <x v="0"/>
    <n v="269.89"/>
  </r>
  <r>
    <n v="32"/>
    <s v="Trek Farley Alloy Frameset - 2017"/>
    <n v="9"/>
    <n v="6"/>
    <n v="2017"/>
    <n v="469.99"/>
    <x v="0"/>
    <n v="857.95"/>
  </r>
  <r>
    <n v="33"/>
    <s v="Surly Wednesday Frameset - 2017"/>
    <n v="8"/>
    <n v="6"/>
    <n v="2017"/>
    <n v="469.99"/>
    <x v="0"/>
    <n v="1199.8800000000001"/>
  </r>
  <r>
    <n v="34"/>
    <s v="Trek Session DH 27.5 Carbon Frameset - 2017"/>
    <n v="9"/>
    <n v="6"/>
    <n v="2017"/>
    <n v="469.99"/>
    <x v="0"/>
    <n v="1199.93"/>
  </r>
  <r>
    <n v="35"/>
    <s v="Sun Bicycles Spider 3i - 2017"/>
    <n v="7"/>
    <n v="6"/>
    <n v="2017"/>
    <n v="832.99"/>
    <x v="0"/>
    <n v="469.92"/>
  </r>
  <r>
    <n v="36"/>
    <s v="Surly Troll Frameset - 2017"/>
    <n v="8"/>
    <n v="6"/>
    <n v="2017"/>
    <n v="832.99"/>
    <x v="0"/>
    <n v="1099.9100000000001"/>
  </r>
  <r>
    <n v="37"/>
    <s v="Haro Flightline One ST - 2017"/>
    <n v="2"/>
    <n v="6"/>
    <n v="2017"/>
    <n v="379.99"/>
    <x v="0"/>
    <n v="1799.92"/>
  </r>
  <r>
    <n v="38"/>
    <s v="Haro Flightline Two 26 Plus - 2017"/>
    <n v="2"/>
    <n v="6"/>
    <n v="2017"/>
    <n v="549.99"/>
    <x v="0"/>
    <n v="897.95"/>
  </r>
  <r>
    <n v="39"/>
    <s v="Trek Stache 5 - 2017"/>
    <n v="9"/>
    <n v="6"/>
    <n v="2017"/>
    <n v="1499.99"/>
    <x v="0"/>
    <n v="599.78"/>
  </r>
  <r>
    <n v="40"/>
    <s v="Trek Fuel EX 9.8 29 - 2017"/>
    <n v="9"/>
    <n v="6"/>
    <n v="2017"/>
    <n v="4999.99"/>
    <x v="0"/>
    <n v="1799.79"/>
  </r>
  <r>
    <n v="41"/>
    <s v="Haro Shift R3 - 2017"/>
    <n v="2"/>
    <n v="6"/>
    <n v="2017"/>
    <n v="1469.99"/>
    <x v="0"/>
    <n v="269.94"/>
  </r>
  <r>
    <n v="42"/>
    <s v="Trek Fuel EX 5 27.5 Plus - 2017"/>
    <n v="9"/>
    <n v="6"/>
    <n v="2017"/>
    <n v="2299.9899999999998"/>
    <x v="0"/>
    <n v="539.91"/>
  </r>
  <r>
    <n v="43"/>
    <s v="Trek Fuel EX 9.8 27.5 Plus - 2017"/>
    <n v="9"/>
    <n v="6"/>
    <n v="2017"/>
    <n v="5299.99"/>
    <x v="0"/>
    <n v="269.92"/>
  </r>
  <r>
    <n v="44"/>
    <s v="Haro SR 1.1 - 2017"/>
    <n v="2"/>
    <n v="6"/>
    <n v="2017"/>
    <n v="539.99"/>
    <x v="0"/>
    <n v="1799.92"/>
  </r>
  <r>
    <n v="45"/>
    <s v="Haro SR 1.2 - 2017"/>
    <n v="2"/>
    <n v="6"/>
    <n v="2017"/>
    <n v="869.99"/>
    <x v="0"/>
    <n v="299.89"/>
  </r>
  <r>
    <n v="46"/>
    <s v="Haro SR 1.3 - 2017"/>
    <n v="2"/>
    <n v="6"/>
    <n v="2017"/>
    <n v="1409.99"/>
    <x v="0"/>
    <n v="1320.89"/>
  </r>
  <r>
    <n v="47"/>
    <s v="Trek Remedy 9.8 - 2017"/>
    <n v="9"/>
    <n v="6"/>
    <n v="2017"/>
    <n v="5299.99"/>
    <x v="0"/>
    <n v="1199.78"/>
  </r>
  <r>
    <n v="48"/>
    <s v="Trek Emonda S 4 - 2017"/>
    <n v="9"/>
    <n v="7"/>
    <n v="2017"/>
    <n v="1499.99"/>
    <x v="6"/>
    <n v="1499.78"/>
  </r>
  <r>
    <n v="49"/>
    <s v="Trek Domane SL 6 - 2017"/>
    <n v="9"/>
    <n v="7"/>
    <n v="2017"/>
    <n v="3499.99"/>
    <x v="6"/>
    <n v="269.94"/>
  </r>
  <r>
    <n v="50"/>
    <s v="Trek Silque SLR 7 Women's - 2017"/>
    <n v="9"/>
    <n v="7"/>
    <n v="2017"/>
    <n v="5999.99"/>
    <x v="6"/>
    <n v="3999.89"/>
  </r>
  <r>
    <n v="51"/>
    <s v="Trek Silque SLR 8 Women's - 2017"/>
    <n v="9"/>
    <n v="7"/>
    <n v="2017"/>
    <n v="6499.99"/>
    <x v="6"/>
    <n v="999.93000000000006"/>
  </r>
  <r>
    <n v="52"/>
    <s v="Surly Steamroller - 2017"/>
    <n v="8"/>
    <n v="7"/>
    <n v="2017"/>
    <n v="875.99"/>
    <x v="6"/>
    <n v="5999.8799999999992"/>
  </r>
  <r>
    <n v="53"/>
    <s v="Surly Ogre Frameset - 2017"/>
    <n v="8"/>
    <n v="7"/>
    <n v="2017"/>
    <n v="749.99"/>
    <x v="6"/>
    <n v="1548.93"/>
  </r>
  <r>
    <n v="54"/>
    <s v="Trek Domane SL Disc Frameset - 2017"/>
    <n v="9"/>
    <n v="7"/>
    <n v="2017"/>
    <n v="3199.99"/>
    <x v="6"/>
    <n v="5999.78"/>
  </r>
  <r>
    <n v="55"/>
    <s v="Trek Domane S 6 - 2017"/>
    <n v="9"/>
    <n v="7"/>
    <n v="2017"/>
    <n v="2699.99"/>
    <x v="6"/>
    <n v="2999.9199999999996"/>
  </r>
  <r>
    <n v="56"/>
    <s v="Trek Domane SLR 6 Disc - 2017"/>
    <n v="9"/>
    <n v="7"/>
    <n v="2017"/>
    <n v="5499.99"/>
    <x v="6"/>
    <n v="3097.93"/>
  </r>
  <r>
    <n v="57"/>
    <s v="Trek Emonda S 5 - 2017"/>
    <n v="9"/>
    <n v="7"/>
    <n v="2017"/>
    <n v="1999.99"/>
    <x v="6"/>
    <n v="269.94"/>
  </r>
  <r>
    <n v="58"/>
    <s v="Trek Madone 9.2 - 2017"/>
    <n v="9"/>
    <n v="7"/>
    <n v="2017"/>
    <n v="4999.99"/>
    <x v="6"/>
    <n v="428.9"/>
  </r>
  <r>
    <n v="59"/>
    <s v="Trek Domane S 5 Disc - 2017"/>
    <n v="9"/>
    <n v="7"/>
    <n v="2017"/>
    <n v="2599.9899999999998"/>
    <x v="6"/>
    <n v="1548.93"/>
  </r>
  <r>
    <n v="60"/>
    <s v="Sun Bicycles ElectroLite - 2017"/>
    <n v="7"/>
    <n v="5"/>
    <n v="2017"/>
    <n v="1559.99"/>
    <x v="1"/>
    <n v="1059.78"/>
  </r>
  <r>
    <n v="61"/>
    <s v="Trek Powerfly 8 FS Plus - 2017"/>
    <n v="9"/>
    <n v="5"/>
    <n v="2017"/>
    <n v="4999.99"/>
    <x v="1"/>
    <n v="269.94"/>
  </r>
  <r>
    <n v="62"/>
    <s v="Trek Boone 7 - 2017"/>
    <n v="9"/>
    <n v="4"/>
    <n v="2017"/>
    <n v="3499.99"/>
    <x v="2"/>
    <n v="5799.9299999999994"/>
  </r>
  <r>
    <n v="63"/>
    <s v="Trek Boone Race Shop Limited - 2017"/>
    <n v="9"/>
    <n v="4"/>
    <n v="2017"/>
    <n v="3499.99"/>
    <x v="2"/>
    <n v="599.88"/>
  </r>
  <r>
    <n v="64"/>
    <s v="Electra Townie Original 7D - 2017"/>
    <n v="1"/>
    <n v="3"/>
    <n v="2017"/>
    <n v="489.99"/>
    <x v="3"/>
    <n v="269.79000000000002"/>
  </r>
  <r>
    <n v="65"/>
    <s v="Sun Bicycles Lil Bolt Type-R - 2017"/>
    <n v="7"/>
    <n v="3"/>
    <n v="2017"/>
    <n v="346.99"/>
    <x v="3"/>
    <n v="1999.88"/>
  </r>
  <r>
    <n v="66"/>
    <s v="Sun Bicycles Revolutions 24 - 2017"/>
    <n v="7"/>
    <n v="3"/>
    <n v="2017"/>
    <n v="250.99"/>
    <x v="3"/>
    <n v="897.93"/>
  </r>
  <r>
    <n v="67"/>
    <s v="Sun Bicycles Revolutions 24 - Girl's - 2017"/>
    <n v="7"/>
    <n v="3"/>
    <n v="2017"/>
    <n v="250.99"/>
    <x v="3"/>
    <n v="599.78"/>
  </r>
  <r>
    <n v="68"/>
    <s v="Sun Bicycles Cruz 3 - 2017"/>
    <n v="7"/>
    <n v="3"/>
    <n v="2017"/>
    <n v="449.99"/>
    <x v="3"/>
    <n v="3097.8"/>
  </r>
  <r>
    <n v="69"/>
    <s v="Sun Bicycles Cruz 7 - 2017"/>
    <n v="7"/>
    <n v="3"/>
    <n v="2017"/>
    <n v="416.99"/>
    <x v="3"/>
    <n v="269.79000000000002"/>
  </r>
  <r>
    <n v="70"/>
    <s v="Electra Amsterdam Original 3i - 2015/2017"/>
    <n v="1"/>
    <n v="3"/>
    <n v="2017"/>
    <n v="659.99"/>
    <x v="3"/>
    <n v="269.79000000000002"/>
  </r>
  <r>
    <n v="71"/>
    <s v="Sun Bicycles Atlas X-Type - 2017"/>
    <n v="7"/>
    <n v="3"/>
    <n v="2017"/>
    <n v="416.99"/>
    <x v="3"/>
    <n v="269.89"/>
  </r>
  <r>
    <n v="72"/>
    <s v="Sun Bicycles Biscayne Tandem 7 - 2017"/>
    <n v="7"/>
    <n v="3"/>
    <n v="2017"/>
    <n v="619.99"/>
    <x v="3"/>
    <n v="3999.9399999999996"/>
  </r>
  <r>
    <n v="73"/>
    <s v="Sun Bicycles Brickell Tandem 7 - 2017"/>
    <n v="7"/>
    <n v="3"/>
    <n v="2017"/>
    <n v="749.99"/>
    <x v="3"/>
    <n v="749.79"/>
  </r>
  <r>
    <n v="74"/>
    <s v="Electra Cruiser Lux 1 - 2017"/>
    <n v="1"/>
    <n v="3"/>
    <n v="2017"/>
    <n v="439.99"/>
    <x v="3"/>
    <n v="549.79"/>
  </r>
  <r>
    <n v="75"/>
    <s v="Electra Cruiser Lux Fat Tire 1 Ladies - 2017"/>
    <n v="1"/>
    <n v="3"/>
    <n v="2017"/>
    <n v="599.99"/>
    <x v="3"/>
    <n v="539.91"/>
  </r>
  <r>
    <n v="76"/>
    <s v="Electra Girl's Hawaii 1 16&quot; - 2017"/>
    <n v="1"/>
    <n v="3"/>
    <n v="2017"/>
    <n v="299.99"/>
    <x v="3"/>
    <n v="1320.79"/>
  </r>
  <r>
    <n v="77"/>
    <s v="Electra Glam Punk 3i Ladies' - 2017"/>
    <n v="1"/>
    <n v="3"/>
    <n v="2017"/>
    <n v="799.99"/>
    <x v="3"/>
    <n v="448.8"/>
  </r>
  <r>
    <n v="78"/>
    <s v="Sun Bicycles Biscayne Tandem CB - 2017"/>
    <n v="7"/>
    <n v="3"/>
    <n v="2017"/>
    <n v="647.99"/>
    <x v="3"/>
    <n v="1199.9100000000001"/>
  </r>
  <r>
    <n v="79"/>
    <s v="Sun Bicycles Boardwalk (24-inch Wheels) - 2017"/>
    <n v="7"/>
    <n v="3"/>
    <n v="2017"/>
    <n v="402.99"/>
    <x v="3"/>
    <n v="1799.92"/>
  </r>
  <r>
    <n v="80"/>
    <s v="Sun Bicycles Brickell Tandem CB - 2017"/>
    <n v="7"/>
    <n v="3"/>
    <n v="2017"/>
    <n v="761.99"/>
    <x v="3"/>
    <n v="1320.94"/>
  </r>
  <r>
    <n v="81"/>
    <s v="Electra Amsterdam Fashion 7i Ladies' - 2017"/>
    <n v="1"/>
    <n v="3"/>
    <n v="2017"/>
    <n v="1099.99"/>
    <x v="3"/>
    <n v="7999.78"/>
  </r>
  <r>
    <n v="82"/>
    <s v="Electra Amsterdam Original 3i Ladies' - 2017"/>
    <n v="1"/>
    <n v="3"/>
    <n v="2017"/>
    <n v="659.99"/>
    <x v="3"/>
    <n v="539.88"/>
  </r>
  <r>
    <n v="83"/>
    <s v="Trek Boy's Kickster - 2015/2017"/>
    <n v="9"/>
    <n v="1"/>
    <n v="2017"/>
    <n v="149.99"/>
    <x v="4"/>
    <n v="469.94"/>
  </r>
  <r>
    <n v="84"/>
    <s v="Sun Bicycles Lil Kitt'n - 2017"/>
    <n v="7"/>
    <n v="1"/>
    <n v="2017"/>
    <n v="109.99"/>
    <x v="4"/>
    <n v="1099.93"/>
  </r>
  <r>
    <n v="85"/>
    <s v="Haro Downtown 16 - 2017"/>
    <n v="2"/>
    <n v="1"/>
    <n v="2017"/>
    <n v="329.99"/>
    <x v="4"/>
    <n v="469.79"/>
  </r>
  <r>
    <n v="86"/>
    <s v="Trek Girl's Kickster - 2017"/>
    <n v="9"/>
    <n v="1"/>
    <n v="2017"/>
    <n v="149.99"/>
    <x v="4"/>
    <n v="539.88"/>
  </r>
  <r>
    <n v="87"/>
    <s v="Trek Precaliber 12 Boys - 2017"/>
    <n v="9"/>
    <n v="1"/>
    <n v="2017"/>
    <n v="189.99"/>
    <x v="4"/>
    <n v="1799.79"/>
  </r>
  <r>
    <n v="88"/>
    <s v="Trek Precaliber 12 Girls - 2017"/>
    <n v="9"/>
    <n v="1"/>
    <n v="2017"/>
    <n v="189.99"/>
    <x v="4"/>
    <n v="539.93000000000006"/>
  </r>
  <r>
    <n v="89"/>
    <s v="Trek Precaliber 16 Boys - 2017"/>
    <n v="9"/>
    <n v="1"/>
    <n v="2017"/>
    <n v="209.99"/>
    <x v="4"/>
    <n v="599.94000000000005"/>
  </r>
  <r>
    <n v="90"/>
    <s v="Trek Precaliber 16 Girls - 2017"/>
    <n v="9"/>
    <n v="1"/>
    <n v="2017"/>
    <n v="209.99"/>
    <x v="4"/>
    <n v="428.93"/>
  </r>
  <r>
    <n v="91"/>
    <s v="Trek Precaliber 24 (21-Speed) - Girls - 2017"/>
    <n v="9"/>
    <n v="1"/>
    <n v="2017"/>
    <n v="349.99"/>
    <x v="4"/>
    <n v="448.9"/>
  </r>
  <r>
    <n v="92"/>
    <s v="Haro Shredder 20 - 2017"/>
    <n v="2"/>
    <n v="1"/>
    <n v="2017"/>
    <n v="209.99"/>
    <x v="4"/>
    <n v="2899.89"/>
  </r>
  <r>
    <n v="93"/>
    <s v="Haro Shredder 20 Girls - 2017"/>
    <n v="2"/>
    <n v="1"/>
    <n v="2017"/>
    <n v="209.99"/>
    <x v="4"/>
    <n v="7999.8799999999992"/>
  </r>
  <r>
    <n v="94"/>
    <s v="Haro Shredder Pro 20 - 2017"/>
    <n v="2"/>
    <n v="1"/>
    <n v="2017"/>
    <n v="249.99"/>
    <x v="4"/>
    <n v="3361.93"/>
  </r>
  <r>
    <n v="95"/>
    <s v="Electra Girl's Hawaii 1 16&quot; - 2017"/>
    <n v="1"/>
    <n v="1"/>
    <n v="2017"/>
    <n v="299.99"/>
    <x v="4"/>
    <n v="5999.78"/>
  </r>
  <r>
    <n v="96"/>
    <s v="Electra Moto 3i (20-inch) - Boy's - 2017"/>
    <n v="1"/>
    <n v="1"/>
    <n v="2017"/>
    <n v="349.99"/>
    <x v="4"/>
    <n v="3599.91"/>
  </r>
  <r>
    <n v="97"/>
    <s v="Electra Savannah 3i (20-inch) - Girl's - 2017"/>
    <n v="1"/>
    <n v="1"/>
    <n v="2017"/>
    <n v="349.99"/>
    <x v="4"/>
    <n v="1099.9100000000001"/>
  </r>
  <r>
    <n v="98"/>
    <s v="Electra Straight 8 3i (20-inch) - Boy's - 2017"/>
    <n v="1"/>
    <n v="1"/>
    <n v="2017"/>
    <n v="489.99"/>
    <x v="4"/>
    <n v="999.88"/>
  </r>
  <r>
    <n v="99"/>
    <s v="Electra Sugar Skulls 1 (20-inch) - Girl's - 2017"/>
    <n v="1"/>
    <n v="1"/>
    <n v="2017"/>
    <n v="299.99"/>
    <x v="4"/>
    <n v="599.91"/>
  </r>
  <r>
    <n v="100"/>
    <s v="Electra Townie 3i EQ (20-inch) - Boys' - 2017"/>
    <n v="1"/>
    <n v="1"/>
    <n v="2017"/>
    <n v="489.99"/>
    <x v="4"/>
    <n v="3999.89"/>
  </r>
  <r>
    <n v="101"/>
    <s v="Electra Townie 7D (20-inch) - Boys' - 2017"/>
    <n v="1"/>
    <n v="1"/>
    <n v="2017"/>
    <n v="339.99"/>
    <x v="4"/>
    <n v="3599.91"/>
  </r>
  <r>
    <n v="102"/>
    <s v="Electra Townie Original 7D - 2017"/>
    <n v="1"/>
    <n v="2"/>
    <n v="2017"/>
    <n v="489.99"/>
    <x v="5"/>
    <n v="3097.9"/>
  </r>
  <r>
    <n v="103"/>
    <s v="Sun Bicycles Streamway 3 - 2017"/>
    <n v="7"/>
    <n v="2"/>
    <n v="2017"/>
    <n v="551.99"/>
    <x v="5"/>
    <n v="857.8"/>
  </r>
  <r>
    <n v="104"/>
    <s v="Sun Bicycles Streamway - 2017"/>
    <n v="7"/>
    <n v="2"/>
    <n v="2017"/>
    <n v="481.99"/>
    <x v="5"/>
    <n v="448.95"/>
  </r>
  <r>
    <n v="105"/>
    <s v="Sun Bicycles Streamway 7 - 2017"/>
    <n v="7"/>
    <n v="2"/>
    <n v="2017"/>
    <n v="533.99"/>
    <x v="5"/>
    <n v="1199.93"/>
  </r>
  <r>
    <n v="106"/>
    <s v="Sun Bicycles Cruz 3 - 2017"/>
    <n v="7"/>
    <n v="2"/>
    <n v="2017"/>
    <n v="449.99"/>
    <x v="5"/>
    <n v="1320.79"/>
  </r>
  <r>
    <n v="107"/>
    <s v="Sun Bicycles Cruz 7 - 2017"/>
    <n v="7"/>
    <n v="2"/>
    <n v="2017"/>
    <n v="416.99"/>
    <x v="5"/>
    <n v="539.91"/>
  </r>
  <r>
    <n v="108"/>
    <s v="Sun Bicycles Cruz 3 - Women's - 2017"/>
    <n v="7"/>
    <n v="2"/>
    <n v="2017"/>
    <n v="449.99"/>
    <x v="5"/>
    <n v="269.92"/>
  </r>
  <r>
    <n v="109"/>
    <s v="Sun Bicycles Cruz 7 - Women's - 2017"/>
    <n v="7"/>
    <n v="2"/>
    <n v="2017"/>
    <n v="416.99"/>
    <x v="5"/>
    <n v="2999.9199999999996"/>
  </r>
  <r>
    <n v="110"/>
    <s v="Sun Bicycles Drifter 7 - 2017"/>
    <n v="7"/>
    <n v="2"/>
    <n v="2017"/>
    <n v="470.99"/>
    <x v="5"/>
    <n v="1320.94"/>
  </r>
  <r>
    <n v="111"/>
    <s v="Sun Bicycles Drifter 7 - Women's - 2017"/>
    <n v="7"/>
    <n v="2"/>
    <n v="2017"/>
    <n v="470.99"/>
    <x v="5"/>
    <n v="1999.78"/>
  </r>
  <r>
    <n v="112"/>
    <s v="Trek 820 - 2018"/>
    <n v="9"/>
    <n v="6"/>
    <n v="2018"/>
    <n v="379.99"/>
    <x v="0"/>
    <n v="1199.93"/>
  </r>
  <r>
    <n v="113"/>
    <s v="Trek Marlin 5 - 2018"/>
    <n v="9"/>
    <n v="6"/>
    <n v="2018"/>
    <n v="489.99"/>
    <x v="0"/>
    <n v="7999.9299999999994"/>
  </r>
  <r>
    <n v="114"/>
    <s v="Trek Marlin 6 - 2018"/>
    <n v="9"/>
    <n v="6"/>
    <n v="2018"/>
    <n v="579.99"/>
    <x v="0"/>
    <n v="299.92"/>
  </r>
  <r>
    <n v="115"/>
    <s v="Trek Fuel EX 8 29 - 2018"/>
    <n v="9"/>
    <n v="6"/>
    <n v="2018"/>
    <n v="3199.99"/>
    <x v="0"/>
    <n v="499.79"/>
  </r>
  <r>
    <n v="116"/>
    <s v="Trek Marlin 7 - 2017/2018"/>
    <n v="9"/>
    <n v="6"/>
    <n v="2018"/>
    <n v="749.99"/>
    <x v="0"/>
    <n v="3097.9"/>
  </r>
  <r>
    <n v="117"/>
    <s v="Trek Ticket S Frame - 2018"/>
    <n v="9"/>
    <n v="6"/>
    <n v="2018"/>
    <n v="1469.99"/>
    <x v="0"/>
    <n v="549.91999999999996"/>
  </r>
  <r>
    <n v="118"/>
    <s v="Trek X-Caliber 8 - 2018"/>
    <n v="9"/>
    <n v="6"/>
    <n v="2018"/>
    <n v="999.99"/>
    <x v="0"/>
    <n v="539.78"/>
  </r>
  <r>
    <n v="119"/>
    <s v="Trek Kids' Neko - 2018"/>
    <n v="9"/>
    <n v="6"/>
    <n v="2018"/>
    <n v="469.99"/>
    <x v="0"/>
    <n v="1199.78"/>
  </r>
  <r>
    <n v="120"/>
    <s v="Trek Fuel EX 7 29 - 2018"/>
    <n v="9"/>
    <n v="6"/>
    <n v="2018"/>
    <n v="2499.9899999999998"/>
    <x v="0"/>
    <n v="1999.93"/>
  </r>
  <r>
    <n v="121"/>
    <s v="Surly Krampus Frameset - 2018"/>
    <n v="8"/>
    <n v="6"/>
    <n v="2018"/>
    <n v="2499.9899999999998"/>
    <x v="0"/>
    <n v="529.89"/>
  </r>
  <r>
    <n v="122"/>
    <s v="Surly Troll Frameset - 2018"/>
    <n v="8"/>
    <n v="6"/>
    <n v="2018"/>
    <n v="2499.9899999999998"/>
    <x v="0"/>
    <n v="428.8"/>
  </r>
  <r>
    <n v="123"/>
    <s v="Trek Farley Carbon Frameset - 2018"/>
    <n v="9"/>
    <n v="6"/>
    <n v="2018"/>
    <n v="999.99"/>
    <x v="0"/>
    <n v="3599.78"/>
  </r>
  <r>
    <n v="124"/>
    <s v="Surly Krampus - 2018"/>
    <n v="8"/>
    <n v="6"/>
    <n v="2018"/>
    <n v="1499"/>
    <x v="0"/>
    <n v="1320.89"/>
  </r>
  <r>
    <n v="125"/>
    <s v="Trek Kids' Dual Sport - 2018"/>
    <n v="9"/>
    <n v="6"/>
    <n v="2018"/>
    <n v="469.99"/>
    <x v="0"/>
    <n v="897.8"/>
  </r>
  <r>
    <n v="126"/>
    <s v="Surly Big Fat Dummy Frameset - 2018"/>
    <n v="8"/>
    <n v="6"/>
    <n v="2018"/>
    <n v="469.99"/>
    <x v="0"/>
    <n v="1199.78"/>
  </r>
  <r>
    <n v="127"/>
    <s v="Surly Pack Rat Frameset - 2018"/>
    <n v="8"/>
    <n v="6"/>
    <n v="2018"/>
    <n v="469.99"/>
    <x v="0"/>
    <n v="448.95"/>
  </r>
  <r>
    <n v="128"/>
    <s v="Surly ECR 27.5 - 2018"/>
    <n v="8"/>
    <n v="6"/>
    <n v="2018"/>
    <n v="1899"/>
    <x v="0"/>
    <n v="539.88"/>
  </r>
  <r>
    <n v="129"/>
    <s v="Trek X-Caliber 7 - 2018"/>
    <n v="9"/>
    <n v="6"/>
    <n v="2018"/>
    <n v="919.99"/>
    <x v="0"/>
    <n v="1099.93"/>
  </r>
  <r>
    <n v="130"/>
    <s v="Trek Stache Carbon Frameset - 2018"/>
    <n v="9"/>
    <n v="6"/>
    <n v="2018"/>
    <n v="919.99"/>
    <x v="0"/>
    <n v="3999.89"/>
  </r>
  <r>
    <n v="131"/>
    <s v="Heller Bloodhound Trail - 2018"/>
    <n v="3"/>
    <n v="6"/>
    <n v="2018"/>
    <n v="2599"/>
    <x v="0"/>
    <n v="599.94000000000005"/>
  </r>
  <r>
    <n v="132"/>
    <s v="Trek Procal AL Frameset - 2018"/>
    <n v="9"/>
    <n v="6"/>
    <n v="2018"/>
    <n v="1499.99"/>
    <x v="0"/>
    <n v="5799.78"/>
  </r>
  <r>
    <n v="133"/>
    <s v="Trek Procaliber Frameset - 2018"/>
    <n v="9"/>
    <n v="6"/>
    <n v="2018"/>
    <n v="1499.99"/>
    <x v="0"/>
    <n v="269.92"/>
  </r>
  <r>
    <n v="134"/>
    <s v="Trek Remedy 27.5 C Frameset - 2018"/>
    <n v="9"/>
    <n v="6"/>
    <n v="2018"/>
    <n v="1499.99"/>
    <x v="0"/>
    <n v="539.93000000000006"/>
  </r>
  <r>
    <n v="135"/>
    <s v="Trek X-Caliber Frameset - 2018"/>
    <n v="9"/>
    <n v="6"/>
    <n v="2018"/>
    <n v="1499.99"/>
    <x v="0"/>
    <n v="428.9"/>
  </r>
  <r>
    <n v="136"/>
    <s v="Trek Procaliber 6 - 2018"/>
    <n v="9"/>
    <n v="6"/>
    <n v="2018"/>
    <n v="1799.99"/>
    <x v="0"/>
    <n v="469.94"/>
  </r>
  <r>
    <n v="137"/>
    <s v="Heller Shagamaw GX1 - 2018"/>
    <n v="3"/>
    <n v="6"/>
    <n v="2018"/>
    <n v="2599"/>
    <x v="0"/>
    <n v="529.89"/>
  </r>
  <r>
    <n v="138"/>
    <s v="Trek Fuel EX 5 Plus - 2018"/>
    <n v="9"/>
    <n v="6"/>
    <n v="2018"/>
    <n v="2249.9899999999998"/>
    <x v="0"/>
    <n v="999.91"/>
  </r>
  <r>
    <n v="139"/>
    <s v="Trek Remedy 7 27.5 - 2018"/>
    <n v="9"/>
    <n v="6"/>
    <n v="2018"/>
    <n v="2999.99"/>
    <x v="0"/>
    <n v="269.79000000000002"/>
  </r>
  <r>
    <n v="140"/>
    <s v="Trek Remedy 9.8 27.5 - 2018"/>
    <n v="9"/>
    <n v="6"/>
    <n v="2018"/>
    <n v="4999.99"/>
    <x v="0"/>
    <n v="1680.89"/>
  </r>
  <r>
    <n v="141"/>
    <s v="Trek Stache 5 - 2018"/>
    <n v="9"/>
    <n v="6"/>
    <n v="2018"/>
    <n v="1599.99"/>
    <x v="0"/>
    <n v="2899.79"/>
  </r>
  <r>
    <n v="142"/>
    <s v="Trek Fuel EX 8 29 XT - 2018"/>
    <n v="9"/>
    <n v="6"/>
    <n v="2018"/>
    <n v="3199.99"/>
    <x v="0"/>
    <n v="2641.88"/>
  </r>
  <r>
    <n v="143"/>
    <s v="Trek Domane ALR 3 - 2018"/>
    <n v="9"/>
    <n v="7"/>
    <n v="2018"/>
    <n v="1099.99"/>
    <x v="6"/>
    <n v="539.91"/>
  </r>
  <r>
    <n v="144"/>
    <s v="Trek Domane ALR 4 Disc - 2018"/>
    <n v="9"/>
    <n v="7"/>
    <n v="2018"/>
    <n v="1549.99"/>
    <x v="6"/>
    <n v="539.91"/>
  </r>
  <r>
    <n v="145"/>
    <s v="Trek Domane ALR 5 Disc - 2018"/>
    <n v="9"/>
    <n v="7"/>
    <n v="2018"/>
    <n v="1799.99"/>
    <x v="6"/>
    <n v="999.94"/>
  </r>
  <r>
    <n v="146"/>
    <s v="Trek Domane SLR 6 - 2018"/>
    <n v="9"/>
    <n v="7"/>
    <n v="2018"/>
    <n v="4999.99"/>
    <x v="6"/>
    <n v="1199.9100000000001"/>
  </r>
  <r>
    <n v="147"/>
    <s v="Trek Domane ALR 5 Gravel - 2018"/>
    <n v="9"/>
    <n v="7"/>
    <n v="2018"/>
    <n v="1799.99"/>
    <x v="6"/>
    <n v="539.78"/>
  </r>
  <r>
    <n v="148"/>
    <s v="Trek Domane SL 8 Disc - 2018"/>
    <n v="9"/>
    <n v="7"/>
    <n v="2018"/>
    <n v="5499.99"/>
    <x v="6"/>
    <n v="269.94"/>
  </r>
  <r>
    <n v="149"/>
    <s v="Trek Domane SLR 8 Disc - 2018"/>
    <n v="9"/>
    <n v="7"/>
    <n v="2018"/>
    <n v="7499.99"/>
    <x v="6"/>
    <n v="599.94000000000005"/>
  </r>
  <r>
    <n v="150"/>
    <s v="Trek Emonda SL 7 - 2018"/>
    <n v="9"/>
    <n v="7"/>
    <n v="2018"/>
    <n v="4499.99"/>
    <x v="6"/>
    <n v="1199.78"/>
  </r>
  <r>
    <n v="151"/>
    <s v="Trek Domane ALR 4 Disc Women's - 2018"/>
    <n v="9"/>
    <n v="7"/>
    <n v="2018"/>
    <n v="1549.99"/>
    <x v="6"/>
    <n v="499.92"/>
  </r>
  <r>
    <n v="152"/>
    <s v="Trek Domane SL 5 Disc Women's - 2018"/>
    <n v="9"/>
    <n v="7"/>
    <n v="2018"/>
    <n v="2499.9899999999998"/>
    <x v="6"/>
    <n v="3599.78"/>
  </r>
  <r>
    <n v="153"/>
    <s v="Trek Domane SL 7 Women's - 2018"/>
    <n v="9"/>
    <n v="7"/>
    <n v="2018"/>
    <n v="4999.99"/>
    <x v="6"/>
    <n v="599.93000000000006"/>
  </r>
  <r>
    <n v="154"/>
    <s v="Trek Domane SLR 6 Disc Women's - 2018"/>
    <n v="9"/>
    <n v="7"/>
    <n v="2018"/>
    <n v="5499.99"/>
    <x v="6"/>
    <n v="539.78"/>
  </r>
  <r>
    <n v="155"/>
    <s v="Trek Domane SLR 9 Disc - 2018"/>
    <n v="9"/>
    <n v="7"/>
    <n v="2018"/>
    <n v="11999.99"/>
    <x v="6"/>
    <n v="999.88"/>
  </r>
  <r>
    <n v="156"/>
    <s v="Trek Domane SL Frameset - 2018"/>
    <n v="9"/>
    <n v="7"/>
    <n v="2018"/>
    <n v="6499.99"/>
    <x v="6"/>
    <n v="1199.78"/>
  </r>
  <r>
    <n v="157"/>
    <s v="Trek Domane SL Frameset Women's - 2018"/>
    <n v="9"/>
    <n v="7"/>
    <n v="2018"/>
    <n v="6499.99"/>
    <x v="6"/>
    <n v="999.79"/>
  </r>
  <r>
    <n v="158"/>
    <s v="Trek CrossRip 1 - 2018"/>
    <n v="9"/>
    <n v="7"/>
    <n v="2018"/>
    <n v="959.99"/>
    <x v="6"/>
    <n v="269.94"/>
  </r>
  <r>
    <n v="159"/>
    <s v="Trek Emonda ALR 6 - 2018"/>
    <n v="9"/>
    <n v="7"/>
    <n v="2018"/>
    <n v="2299.9899999999998"/>
    <x v="6"/>
    <n v="999.78"/>
  </r>
  <r>
    <n v="160"/>
    <s v="Trek Emonda SLR 6 - 2018"/>
    <n v="9"/>
    <n v="7"/>
    <n v="2018"/>
    <n v="4499.99"/>
    <x v="6"/>
    <n v="1059.78"/>
  </r>
  <r>
    <n v="161"/>
    <s v="Surly ECR - 2018"/>
    <n v="8"/>
    <n v="7"/>
    <n v="2018"/>
    <n v="1899"/>
    <x v="6"/>
    <n v="1199.9100000000001"/>
  </r>
  <r>
    <n v="162"/>
    <s v="Trek Emonda SL 6 Disc - 2018"/>
    <n v="9"/>
    <n v="7"/>
    <n v="2018"/>
    <n v="2999.99"/>
    <x v="6"/>
    <n v="599.88"/>
  </r>
  <r>
    <n v="163"/>
    <s v="Surly Pack Rat - 2018"/>
    <n v="8"/>
    <n v="7"/>
    <n v="2018"/>
    <n v="1349"/>
    <x v="6"/>
    <n v="897.8"/>
  </r>
  <r>
    <n v="164"/>
    <s v="Surly Straggler 650b - 2018"/>
    <n v="8"/>
    <n v="7"/>
    <n v="2018"/>
    <n v="1549"/>
    <x v="6"/>
    <n v="269.92"/>
  </r>
  <r>
    <n v="165"/>
    <s v="Trek 1120 - 2018"/>
    <n v="9"/>
    <n v="7"/>
    <n v="2018"/>
    <n v="2499.9899999999998"/>
    <x v="6"/>
    <n v="539.93000000000006"/>
  </r>
  <r>
    <n v="166"/>
    <s v="Trek Domane AL 2 Women's - 2018"/>
    <n v="9"/>
    <n v="7"/>
    <n v="2018"/>
    <n v="749.99"/>
    <x v="6"/>
    <n v="448.93"/>
  </r>
  <r>
    <n v="167"/>
    <s v="Surly ECR Frameset - 2018"/>
    <n v="8"/>
    <n v="7"/>
    <n v="2018"/>
    <n v="749.99"/>
    <x v="6"/>
    <n v="299.89"/>
  </r>
  <r>
    <n v="168"/>
    <s v="Surly Straggler - 2018"/>
    <n v="8"/>
    <n v="7"/>
    <n v="2018"/>
    <n v="1549"/>
    <x v="6"/>
    <n v="269.94"/>
  </r>
  <r>
    <n v="169"/>
    <s v="Trek Emonda SLR 8 - 2018"/>
    <n v="9"/>
    <n v="7"/>
    <n v="2018"/>
    <n v="6499.99"/>
    <x v="6"/>
    <n v="749.89"/>
  </r>
  <r>
    <n v="170"/>
    <s v="Trek CrossRip 2 - 2018"/>
    <n v="9"/>
    <n v="7"/>
    <n v="2018"/>
    <n v="1299.99"/>
    <x v="6"/>
    <n v="857.9"/>
  </r>
  <r>
    <n v="171"/>
    <s v="Trek Domane SL 6 - 2018"/>
    <n v="9"/>
    <n v="7"/>
    <n v="2018"/>
    <n v="3199.99"/>
    <x v="6"/>
    <n v="539.93000000000006"/>
  </r>
  <r>
    <n v="172"/>
    <s v="Trek Domane ALR Disc Frameset - 2018"/>
    <n v="9"/>
    <n v="7"/>
    <n v="2018"/>
    <n v="3199.99"/>
    <x v="6"/>
    <n v="2899.89"/>
  </r>
  <r>
    <n v="173"/>
    <s v="Trek Domane ALR Frameset - 2018"/>
    <n v="9"/>
    <n v="7"/>
    <n v="2018"/>
    <n v="3199.99"/>
    <x v="6"/>
    <n v="529.91999999999996"/>
  </r>
  <r>
    <n v="174"/>
    <s v="Trek Domane SLR Disc Frameset - 2018"/>
    <n v="9"/>
    <n v="7"/>
    <n v="2018"/>
    <n v="3199.99"/>
    <x v="6"/>
    <n v="269.79000000000002"/>
  </r>
  <r>
    <n v="175"/>
    <s v="Trek Domane SLR Frameset - 2018"/>
    <n v="9"/>
    <n v="7"/>
    <n v="2018"/>
    <n v="3199.99"/>
    <x v="6"/>
    <n v="499.89"/>
  </r>
  <r>
    <n v="176"/>
    <s v="Trek Madone 9 Frameset - 2018"/>
    <n v="9"/>
    <n v="7"/>
    <n v="2018"/>
    <n v="3199.99"/>
    <x v="6"/>
    <n v="1059.93"/>
  </r>
  <r>
    <n v="177"/>
    <s v="Trek Domane SLR 6 Disc - 2018"/>
    <n v="9"/>
    <n v="7"/>
    <n v="2018"/>
    <n v="5499.99"/>
    <x v="6"/>
    <n v="2641.78"/>
  </r>
  <r>
    <n v="178"/>
    <s v="Trek Domane AL 2 - 2018"/>
    <n v="9"/>
    <n v="7"/>
    <n v="2018"/>
    <n v="749.99"/>
    <x v="6"/>
    <n v="269.92"/>
  </r>
  <r>
    <n v="179"/>
    <s v="Trek Domane AL 3 - 2018"/>
    <n v="9"/>
    <n v="7"/>
    <n v="2018"/>
    <n v="919.99"/>
    <x v="6"/>
    <n v="3599.88"/>
  </r>
  <r>
    <n v="180"/>
    <s v="Trek Domane AL 3 Women's - 2018"/>
    <n v="9"/>
    <n v="7"/>
    <n v="2018"/>
    <n v="919.99"/>
    <x v="6"/>
    <n v="539.88"/>
  </r>
  <r>
    <n v="181"/>
    <s v="Trek Domane SL 5 - 2018"/>
    <n v="9"/>
    <n v="7"/>
    <n v="2018"/>
    <n v="2199.9899999999998"/>
    <x v="6"/>
    <n v="999.88"/>
  </r>
  <r>
    <n v="182"/>
    <s v="Trek Domane SL 5 Disc - 2018"/>
    <n v="9"/>
    <n v="7"/>
    <n v="2018"/>
    <n v="2499.9899999999998"/>
    <x v="6"/>
    <n v="897.95"/>
  </r>
  <r>
    <n v="183"/>
    <s v="Trek Domane SL 5 Women's - 2018"/>
    <n v="9"/>
    <n v="7"/>
    <n v="2018"/>
    <n v="2199.9899999999998"/>
    <x v="6"/>
    <n v="999.89"/>
  </r>
  <r>
    <n v="184"/>
    <s v="Trek Domane SL 6 Disc - 2018"/>
    <n v="9"/>
    <n v="7"/>
    <n v="2018"/>
    <n v="3499.99"/>
    <x v="6"/>
    <n v="999.88"/>
  </r>
  <r>
    <n v="185"/>
    <s v="Trek Conduit+ - 2018"/>
    <n v="9"/>
    <n v="5"/>
    <n v="2018"/>
    <n v="2799.99"/>
    <x v="1"/>
    <n v="539.78"/>
  </r>
  <r>
    <n v="186"/>
    <s v="Trek CrossRip+ - 2018"/>
    <n v="9"/>
    <n v="5"/>
    <n v="2018"/>
    <n v="4499.99"/>
    <x v="1"/>
    <n v="599.78"/>
  </r>
  <r>
    <n v="187"/>
    <s v="Trek Neko+ - 2018"/>
    <n v="9"/>
    <n v="5"/>
    <n v="2018"/>
    <n v="2799.99"/>
    <x v="1"/>
    <n v="1099.8800000000001"/>
  </r>
  <r>
    <n v="188"/>
    <s v="Trek XM700+ Lowstep - 2018"/>
    <n v="9"/>
    <n v="5"/>
    <n v="2018"/>
    <n v="3499.99"/>
    <x v="1"/>
    <n v="549.89"/>
  </r>
  <r>
    <n v="189"/>
    <s v="Trek Lift+ Lowstep - 2018"/>
    <n v="9"/>
    <n v="5"/>
    <n v="2018"/>
    <n v="2799.99"/>
    <x v="1"/>
    <n v="749.79"/>
  </r>
  <r>
    <n v="190"/>
    <s v="Trek Dual Sport+ - 2018"/>
    <n v="9"/>
    <n v="5"/>
    <n v="2018"/>
    <n v="2799.99"/>
    <x v="1"/>
    <n v="299.92"/>
  </r>
  <r>
    <n v="191"/>
    <s v="Electra Loft Go! 8i - 2018"/>
    <n v="1"/>
    <n v="5"/>
    <n v="2018"/>
    <n v="2799.99"/>
    <x v="1"/>
    <n v="549.91999999999996"/>
  </r>
  <r>
    <n v="192"/>
    <s v="Electra Townie Go! 8i - 2017/2018"/>
    <n v="1"/>
    <n v="5"/>
    <n v="2018"/>
    <n v="2599.9899999999998"/>
    <x v="1"/>
    <n v="599.78"/>
  </r>
  <r>
    <n v="193"/>
    <s v="Trek Lift+ - 2018"/>
    <n v="9"/>
    <n v="5"/>
    <n v="2018"/>
    <n v="2799.99"/>
    <x v="1"/>
    <n v="1099.8800000000001"/>
  </r>
  <r>
    <n v="194"/>
    <s v="Trek XM700+ - 2018"/>
    <n v="9"/>
    <n v="5"/>
    <n v="2018"/>
    <n v="3499.99"/>
    <x v="1"/>
    <n v="269.79000000000002"/>
  </r>
  <r>
    <n v="195"/>
    <s v="Electra Townie Go! 8i Ladies' - 2018"/>
    <n v="1"/>
    <n v="5"/>
    <n v="2018"/>
    <n v="2599.9899999999998"/>
    <x v="1"/>
    <n v="2641.88"/>
  </r>
  <r>
    <n v="196"/>
    <s v="Trek Verve+ - 2018"/>
    <n v="9"/>
    <n v="5"/>
    <n v="2018"/>
    <n v="2299.9899999999998"/>
    <x v="1"/>
    <n v="448.8"/>
  </r>
  <r>
    <n v="197"/>
    <s v="Trek Verve+ Lowstep - 2018"/>
    <n v="9"/>
    <n v="5"/>
    <n v="2018"/>
    <n v="2299.9899999999998"/>
    <x v="1"/>
    <n v="539.91"/>
  </r>
  <r>
    <n v="198"/>
    <s v="Electra Townie Commute Go! - 2018"/>
    <n v="1"/>
    <n v="5"/>
    <n v="2018"/>
    <n v="2999.99"/>
    <x v="1"/>
    <n v="428.9"/>
  </r>
  <r>
    <n v="199"/>
    <s v="Electra Townie Commute Go! Ladies' - 2018"/>
    <n v="1"/>
    <n v="5"/>
    <n v="2018"/>
    <n v="2999.99"/>
    <x v="1"/>
    <n v="539.88"/>
  </r>
  <r>
    <n v="200"/>
    <s v="Trek Powerfly 5 - 2018"/>
    <n v="9"/>
    <n v="5"/>
    <n v="2018"/>
    <n v="3499.99"/>
    <x v="1"/>
    <n v="1320.79"/>
  </r>
  <r>
    <n v="201"/>
    <s v="Trek Powerfly 5 FS - 2018"/>
    <n v="9"/>
    <n v="5"/>
    <n v="2018"/>
    <n v="4499.99"/>
    <x v="1"/>
    <n v="1548.95"/>
  </r>
  <r>
    <n v="202"/>
    <s v="Trek Powerfly 5 Women's - 2018"/>
    <n v="9"/>
    <n v="5"/>
    <n v="2018"/>
    <n v="3499.99"/>
    <x v="1"/>
    <n v="1999.93"/>
  </r>
  <r>
    <n v="203"/>
    <s v="Trek Powerfly 7 FS - 2018"/>
    <n v="9"/>
    <n v="5"/>
    <n v="2018"/>
    <n v="4999.99"/>
    <x v="1"/>
    <n v="448.8"/>
  </r>
  <r>
    <n v="204"/>
    <s v="Trek Super Commuter+ 7 - 2018"/>
    <n v="9"/>
    <n v="5"/>
    <n v="2018"/>
    <n v="3599.99"/>
    <x v="1"/>
    <n v="599.94000000000005"/>
  </r>
  <r>
    <n v="205"/>
    <s v="Trek Super Commuter+ 8S - 2018"/>
    <n v="9"/>
    <n v="5"/>
    <n v="2018"/>
    <n v="4999.99"/>
    <x v="1"/>
    <n v="1199.93"/>
  </r>
  <r>
    <n v="206"/>
    <s v="Trek Boone 5 Disc - 2018"/>
    <n v="9"/>
    <n v="4"/>
    <n v="2018"/>
    <n v="3299.99"/>
    <x v="2"/>
    <n v="549.79"/>
  </r>
  <r>
    <n v="207"/>
    <s v="Trek Boone 7 Disc - 2018"/>
    <n v="9"/>
    <n v="4"/>
    <n v="2018"/>
    <n v="3999.99"/>
    <x v="2"/>
    <n v="448.9"/>
  </r>
  <r>
    <n v="208"/>
    <s v="Trek Crockett 5 Disc - 2018"/>
    <n v="9"/>
    <n v="4"/>
    <n v="2018"/>
    <n v="1799.99"/>
    <x v="2"/>
    <n v="857.93"/>
  </r>
  <r>
    <n v="209"/>
    <s v="Trek Crockett 7 Disc - 2018"/>
    <n v="9"/>
    <n v="4"/>
    <n v="2018"/>
    <n v="2999.99"/>
    <x v="2"/>
    <n v="549.94000000000005"/>
  </r>
  <r>
    <n v="210"/>
    <s v="Surly Straggler - 2018"/>
    <n v="8"/>
    <n v="4"/>
    <n v="2018"/>
    <n v="1549"/>
    <x v="2"/>
    <n v="539.88"/>
  </r>
  <r>
    <n v="211"/>
    <s v="Surly Straggler 650b - 2018"/>
    <n v="8"/>
    <n v="4"/>
    <n v="2018"/>
    <n v="1549"/>
    <x v="2"/>
    <n v="269.92"/>
  </r>
  <r>
    <n v="212"/>
    <s v="Electra Townie Original 21D - 2018"/>
    <n v="1"/>
    <n v="3"/>
    <n v="2018"/>
    <n v="559.99"/>
    <x v="3"/>
    <n v="1199.93"/>
  </r>
  <r>
    <n v="213"/>
    <s v="Electra Cruiser 1 - 2016/2017/2018"/>
    <n v="1"/>
    <n v="3"/>
    <n v="2018"/>
    <n v="269.99"/>
    <x v="3"/>
    <n v="1999.91"/>
  </r>
  <r>
    <n v="214"/>
    <s v="Electra Tiger Shark 3i - 2018"/>
    <n v="1"/>
    <n v="3"/>
    <n v="2018"/>
    <n v="899.99"/>
    <x v="3"/>
    <n v="499.92"/>
  </r>
  <r>
    <n v="215"/>
    <s v="Electra Queen of Hearts 3i - 2018"/>
    <n v="1"/>
    <n v="3"/>
    <n v="2018"/>
    <n v="749.99"/>
    <x v="3"/>
    <n v="599.78"/>
  </r>
  <r>
    <n v="216"/>
    <s v="Electra Super Moto 8i - 2018"/>
    <n v="1"/>
    <n v="3"/>
    <n v="2018"/>
    <n v="899.99"/>
    <x v="3"/>
    <n v="1199.93"/>
  </r>
  <r>
    <n v="217"/>
    <s v="Electra Straight 8 3i - 2018"/>
    <n v="1"/>
    <n v="3"/>
    <n v="2018"/>
    <n v="909.99"/>
    <x v="3"/>
    <n v="469.92"/>
  </r>
  <r>
    <n v="218"/>
    <s v="Electra Cruiser 7D - 2016/2017/2018"/>
    <n v="1"/>
    <n v="3"/>
    <n v="2018"/>
    <n v="319.99"/>
    <x v="3"/>
    <n v="999.89"/>
  </r>
  <r>
    <n v="219"/>
    <s v="Electra Moto 3i - 2018"/>
    <n v="1"/>
    <n v="3"/>
    <n v="2018"/>
    <n v="639.99"/>
    <x v="3"/>
    <n v="7999.91"/>
  </r>
  <r>
    <n v="220"/>
    <s v="Electra Cruiser 1 Ladies' - 2018"/>
    <n v="1"/>
    <n v="3"/>
    <n v="2018"/>
    <n v="269.99"/>
    <x v="3"/>
    <n v="529.79"/>
  </r>
  <r>
    <n v="221"/>
    <s v="Electra Cruiser 7D Ladies' - 2016/2018"/>
    <n v="1"/>
    <n v="3"/>
    <n v="2018"/>
    <n v="319.99"/>
    <x v="3"/>
    <n v="549.94000000000005"/>
  </r>
  <r>
    <n v="222"/>
    <s v="Electra Cruiser 1 Tall - 2016/2018"/>
    <n v="1"/>
    <n v="3"/>
    <n v="2018"/>
    <n v="269.99"/>
    <x v="3"/>
    <n v="3361.88"/>
  </r>
  <r>
    <n v="223"/>
    <s v="Electra Cruiser Lux 3i - 2018"/>
    <n v="1"/>
    <n v="3"/>
    <n v="2018"/>
    <n v="529.99"/>
    <x v="3"/>
    <n v="1320.92"/>
  </r>
  <r>
    <n v="224"/>
    <s v="Electra Cruiser Lux 7D - 2018"/>
    <n v="1"/>
    <n v="3"/>
    <n v="2018"/>
    <n v="479.99"/>
    <x v="3"/>
    <n v="599.91999999999996"/>
  </r>
  <r>
    <n v="225"/>
    <s v="Electra Delivery 3i - 2016/2017/2018"/>
    <n v="1"/>
    <n v="3"/>
    <n v="2018"/>
    <n v="959.99"/>
    <x v="3"/>
    <n v="1099.8800000000001"/>
  </r>
  <r>
    <n v="226"/>
    <s v="Electra Townie Original 21D EQ - 2017/2018"/>
    <n v="1"/>
    <n v="3"/>
    <n v="2018"/>
    <n v="679.99"/>
    <x v="3"/>
    <n v="599.79"/>
  </r>
  <r>
    <n v="227"/>
    <s v="Electra Cruiser 7D (24-Inch) Ladies' - 2016/2018"/>
    <n v="1"/>
    <n v="3"/>
    <n v="2018"/>
    <n v="319.99"/>
    <x v="3"/>
    <n v="499.79"/>
  </r>
  <r>
    <n v="228"/>
    <s v="Electra Cruiser 7D Tall - 2016/2018"/>
    <n v="1"/>
    <n v="3"/>
    <n v="2018"/>
    <n v="319.99"/>
    <x v="3"/>
    <n v="428.93"/>
  </r>
  <r>
    <n v="229"/>
    <s v="Electra Cruiser Lux 1 - 2016/2018"/>
    <n v="1"/>
    <n v="3"/>
    <n v="2018"/>
    <n v="429.99"/>
    <x v="3"/>
    <n v="448.8"/>
  </r>
  <r>
    <n v="230"/>
    <s v="Electra Cruiser Lux 1 Ladies' - 2018"/>
    <n v="1"/>
    <n v="3"/>
    <n v="2018"/>
    <n v="429.99"/>
    <x v="3"/>
    <n v="897.9"/>
  </r>
  <r>
    <n v="231"/>
    <s v="Electra Cruiser Lux 3i Ladies' - 2018"/>
    <n v="1"/>
    <n v="3"/>
    <n v="2018"/>
    <n v="529.99"/>
    <x v="3"/>
    <n v="539.88"/>
  </r>
  <r>
    <n v="232"/>
    <s v="Electra Cruiser Lux 7D Ladies' - 2018"/>
    <n v="1"/>
    <n v="3"/>
    <n v="2018"/>
    <n v="479.99"/>
    <x v="3"/>
    <n v="5999.8799999999992"/>
  </r>
  <r>
    <n v="233"/>
    <s v="Electra Cruiser Lux Fat Tire 7D - 2018"/>
    <n v="1"/>
    <n v="3"/>
    <n v="2018"/>
    <n v="639.99"/>
    <x v="3"/>
    <n v="857.95"/>
  </r>
  <r>
    <n v="234"/>
    <s v="Electra Daydreamer 3i Ladies' - 2018"/>
    <n v="1"/>
    <n v="3"/>
    <n v="2018"/>
    <n v="899.99"/>
    <x v="3"/>
    <n v="469.89"/>
  </r>
  <r>
    <n v="235"/>
    <s v="Electra Koa 3i Ladies' - 2018"/>
    <n v="1"/>
    <n v="3"/>
    <n v="2018"/>
    <n v="899.99"/>
    <x v="3"/>
    <n v="999.91"/>
  </r>
  <r>
    <n v="236"/>
    <s v="Electra Morningstar 3i Ladies' - 2018"/>
    <n v="1"/>
    <n v="3"/>
    <n v="2018"/>
    <n v="749.99"/>
    <x v="3"/>
    <n v="599.89"/>
  </r>
  <r>
    <n v="237"/>
    <s v="Electra Relic 3i - 2018"/>
    <n v="1"/>
    <n v="3"/>
    <n v="2018"/>
    <n v="849.99"/>
    <x v="3"/>
    <n v="549.89"/>
  </r>
  <r>
    <n v="238"/>
    <s v="Electra Townie Balloon 8D EQ - 2016/2017/2018"/>
    <n v="1"/>
    <n v="3"/>
    <n v="2018"/>
    <n v="749.99"/>
    <x v="3"/>
    <n v="428.8"/>
  </r>
  <r>
    <n v="239"/>
    <s v="Electra Townie Balloon 8D EQ Ladies' - 2016/2017/2018"/>
    <n v="1"/>
    <n v="3"/>
    <n v="2018"/>
    <n v="749.99"/>
    <x v="3"/>
    <n v="3097.8"/>
  </r>
  <r>
    <n v="240"/>
    <s v="Electra Townie Commute 27D Ladies - 2018"/>
    <n v="1"/>
    <n v="3"/>
    <n v="2018"/>
    <n v="899.99"/>
    <x v="3"/>
    <n v="599.93000000000006"/>
  </r>
  <r>
    <n v="241"/>
    <s v="Electra Townie Commute 8D - 2018"/>
    <n v="1"/>
    <n v="3"/>
    <n v="2018"/>
    <n v="749.99"/>
    <x v="3"/>
    <n v="999.93000000000006"/>
  </r>
  <r>
    <n v="242"/>
    <s v="Electra Townie Commute 8D Ladies' - 2018"/>
    <n v="1"/>
    <n v="3"/>
    <n v="2018"/>
    <n v="699.99"/>
    <x v="3"/>
    <n v="999.88"/>
  </r>
  <r>
    <n v="243"/>
    <s v="Electra Townie Original 21D EQ Ladies' - 2018"/>
    <n v="1"/>
    <n v="3"/>
    <n v="2018"/>
    <n v="679.99"/>
    <x v="3"/>
    <n v="3361.78"/>
  </r>
  <r>
    <n v="244"/>
    <s v="Electra Townie Original 21D Ladies' - 2018"/>
    <n v="1"/>
    <n v="3"/>
    <n v="2018"/>
    <n v="559.99"/>
    <x v="3"/>
    <n v="599.79"/>
  </r>
  <r>
    <n v="245"/>
    <s v="Electra Townie Original 3i EQ - 2017/2018"/>
    <n v="1"/>
    <n v="3"/>
    <n v="2018"/>
    <n v="659.99"/>
    <x v="3"/>
    <n v="1999.93"/>
  </r>
  <r>
    <n v="246"/>
    <s v="Electra Townie Original 3i EQ Ladies' - 2018"/>
    <n v="1"/>
    <n v="3"/>
    <n v="2018"/>
    <n v="639.99"/>
    <x v="3"/>
    <n v="599.91"/>
  </r>
  <r>
    <n v="247"/>
    <s v="Electra Townie Original 7D EQ - 2018"/>
    <n v="1"/>
    <n v="3"/>
    <n v="2018"/>
    <n v="599.99"/>
    <x v="3"/>
    <n v="1059.9100000000001"/>
  </r>
  <r>
    <n v="248"/>
    <s v="Electra Townie Original 7D EQ Ladies' - 2017/2018"/>
    <n v="1"/>
    <n v="3"/>
    <n v="2018"/>
    <n v="599.99"/>
    <x v="3"/>
    <n v="5799.9299999999994"/>
  </r>
  <r>
    <n v="249"/>
    <s v="Electra White Water 3i - 2018"/>
    <n v="1"/>
    <n v="3"/>
    <n v="2018"/>
    <n v="749.99"/>
    <x v="3"/>
    <n v="448.93"/>
  </r>
  <r>
    <n v="250"/>
    <s v="Electra Townie Go! 8i - 2017/2018"/>
    <n v="1"/>
    <n v="3"/>
    <n v="2018"/>
    <n v="2599.9899999999998"/>
    <x v="3"/>
    <n v="5999.8799999999992"/>
  </r>
  <r>
    <n v="251"/>
    <s v="Electra Townie Commute Go! - 2018"/>
    <n v="1"/>
    <n v="3"/>
    <n v="2018"/>
    <n v="2999.99"/>
    <x v="3"/>
    <n v="599.91"/>
  </r>
  <r>
    <n v="252"/>
    <s v="Electra Townie Commute Go! Ladies' - 2018"/>
    <n v="1"/>
    <n v="3"/>
    <n v="2018"/>
    <n v="2999.99"/>
    <x v="3"/>
    <n v="539.78"/>
  </r>
  <r>
    <n v="253"/>
    <s v="Electra Townie Go! 8i Ladies' - 2018"/>
    <n v="1"/>
    <n v="3"/>
    <n v="2018"/>
    <n v="2599.9899999999998"/>
    <x v="3"/>
    <n v="529.89"/>
  </r>
  <r>
    <n v="254"/>
    <s v="Electra Townie Balloon 3i EQ - 2017/2018"/>
    <n v="1"/>
    <n v="3"/>
    <n v="2018"/>
    <n v="749.99"/>
    <x v="3"/>
    <n v="1199.78"/>
  </r>
  <r>
    <n v="255"/>
    <s v="Electra Townie Balloon 7i EQ Ladies' - 2017/2018"/>
    <n v="1"/>
    <n v="3"/>
    <n v="2018"/>
    <n v="899.99"/>
    <x v="3"/>
    <n v="599.88"/>
  </r>
  <r>
    <n v="256"/>
    <s v="Electra Townie Commute 27D - 2018"/>
    <n v="1"/>
    <n v="3"/>
    <n v="2018"/>
    <n v="899.99"/>
    <x v="3"/>
    <n v="1548.93"/>
  </r>
  <r>
    <n v="257"/>
    <s v="Electra Amsterdam Fashion 3i Ladies' - 2017/2018"/>
    <n v="1"/>
    <n v="3"/>
    <n v="2018"/>
    <n v="899.99"/>
    <x v="3"/>
    <n v="3599.88"/>
  </r>
  <r>
    <n v="258"/>
    <s v="Electra Amsterdam Royal 8i - 2017/2018"/>
    <n v="1"/>
    <n v="3"/>
    <n v="2018"/>
    <n v="1259.9000000000001"/>
    <x v="3"/>
    <n v="3999.89"/>
  </r>
  <r>
    <n v="259"/>
    <s v="Electra Amsterdam Royal 8i Ladies - 2018"/>
    <n v="1"/>
    <n v="3"/>
    <n v="2018"/>
    <n v="1199.99"/>
    <x v="3"/>
    <n v="1320.94"/>
  </r>
  <r>
    <n v="260"/>
    <s v="Electra Townie Balloon 3i EQ Ladies' - 2018"/>
    <n v="1"/>
    <n v="3"/>
    <n v="2018"/>
    <n v="799.99"/>
    <x v="3"/>
    <n v="939.88"/>
  </r>
  <r>
    <n v="261"/>
    <s v="Electra Townie Balloon 7i EQ - 2018"/>
    <n v="1"/>
    <n v="3"/>
    <n v="2018"/>
    <n v="899.99"/>
    <x v="3"/>
    <n v="999.89"/>
  </r>
  <r>
    <n v="262"/>
    <s v="Trek MT 201 - 2018"/>
    <n v="9"/>
    <n v="1"/>
    <n v="2018"/>
    <n v="249.99"/>
    <x v="4"/>
    <n v="469.92"/>
  </r>
  <r>
    <n v="263"/>
    <s v="Strider Classic 12 Balance Bike - 2018"/>
    <n v="6"/>
    <n v="1"/>
    <n v="2018"/>
    <n v="89.99"/>
    <x v="4"/>
    <n v="1680.89"/>
  </r>
  <r>
    <n v="264"/>
    <s v="Strider Sport 16 - 2018"/>
    <n v="6"/>
    <n v="1"/>
    <n v="2018"/>
    <n v="249.99"/>
    <x v="4"/>
    <n v="499.94"/>
  </r>
  <r>
    <n v="265"/>
    <s v="Strider Strider 20 Sport - 2018"/>
    <n v="6"/>
    <n v="1"/>
    <n v="2018"/>
    <n v="289.99"/>
    <x v="4"/>
    <n v="1059.9100000000001"/>
  </r>
  <r>
    <n v="266"/>
    <s v="Trek Superfly 20 - 2018"/>
    <n v="9"/>
    <n v="1"/>
    <n v="2018"/>
    <n v="399.99"/>
    <x v="4"/>
    <n v="539.91"/>
  </r>
  <r>
    <n v="267"/>
    <s v="Trek Precaliber 12 Girl's - 2018"/>
    <n v="9"/>
    <n v="1"/>
    <n v="2018"/>
    <n v="199.99"/>
    <x v="4"/>
    <n v="1799.89"/>
  </r>
  <r>
    <n v="268"/>
    <s v="Trek Kickster - 2018"/>
    <n v="9"/>
    <n v="1"/>
    <n v="2018"/>
    <n v="159.99"/>
    <x v="4"/>
    <n v="539.91"/>
  </r>
  <r>
    <n v="269"/>
    <s v="Trek Precaliber 12 Boy's - 2018"/>
    <n v="9"/>
    <n v="1"/>
    <n v="2018"/>
    <n v="199.99"/>
    <x v="4"/>
    <n v="428.95"/>
  </r>
  <r>
    <n v="270"/>
    <s v="Trek Precaliber 16 Boy's - 2018"/>
    <n v="9"/>
    <n v="1"/>
    <n v="2018"/>
    <n v="209.99"/>
    <x v="4"/>
    <n v="269.89"/>
  </r>
  <r>
    <n v="271"/>
    <s v="Trek Precaliber 16 Girl's - 2018"/>
    <n v="9"/>
    <n v="1"/>
    <n v="2018"/>
    <n v="209.99"/>
    <x v="4"/>
    <n v="749.79"/>
  </r>
  <r>
    <n v="272"/>
    <s v="Trek Precaliber 20 6-speed Boy's - 2018"/>
    <n v="9"/>
    <n v="1"/>
    <n v="2018"/>
    <n v="289.99"/>
    <x v="4"/>
    <n v="3097.93"/>
  </r>
  <r>
    <n v="273"/>
    <s v="Trek Precaliber 20 6-speed Girl's - 2018"/>
    <n v="9"/>
    <n v="1"/>
    <n v="2018"/>
    <n v="289.99"/>
    <x v="4"/>
    <n v="549.94000000000005"/>
  </r>
  <r>
    <n v="274"/>
    <s v="Trek Precaliber 20 Boy's - 2018"/>
    <n v="9"/>
    <n v="1"/>
    <n v="2018"/>
    <n v="229.99"/>
    <x v="4"/>
    <n v="2899.79"/>
  </r>
  <r>
    <n v="275"/>
    <s v="Trek Precaliber 20 Girl's - 2018"/>
    <n v="9"/>
    <n v="1"/>
    <n v="2018"/>
    <n v="229.99"/>
    <x v="4"/>
    <n v="1680.79"/>
  </r>
  <r>
    <n v="276"/>
    <s v="Trek Precaliber 24 (7-Speed) - Boys - 2018"/>
    <n v="9"/>
    <n v="1"/>
    <n v="2018"/>
    <n v="319.99"/>
    <x v="4"/>
    <n v="539.91"/>
  </r>
  <r>
    <n v="277"/>
    <s v="Trek Precaliber 24 21-speed Boy's - 2018"/>
    <n v="9"/>
    <n v="1"/>
    <n v="2018"/>
    <n v="369.99"/>
    <x v="4"/>
    <n v="3097.8"/>
  </r>
  <r>
    <n v="278"/>
    <s v="Trek Precaliber 24 21-speed Girl's - 2018"/>
    <n v="9"/>
    <n v="1"/>
    <n v="2018"/>
    <n v="369.99"/>
    <x v="4"/>
    <n v="448.9"/>
  </r>
  <r>
    <n v="279"/>
    <s v="Trek Precaliber 24 7-speed Girl's - 2018"/>
    <n v="9"/>
    <n v="1"/>
    <n v="2018"/>
    <n v="319.99"/>
    <x v="4"/>
    <n v="3599.78"/>
  </r>
  <r>
    <n v="280"/>
    <s v="Trek Superfly 24 - 2017/2018"/>
    <n v="9"/>
    <n v="1"/>
    <n v="2018"/>
    <n v="489.99"/>
    <x v="4"/>
    <n v="1199.93"/>
  </r>
  <r>
    <n v="281"/>
    <s v="Electra Cruiser 7D (24-Inch) Ladies' - 2016/2018"/>
    <n v="1"/>
    <n v="1"/>
    <n v="2018"/>
    <n v="319.99"/>
    <x v="4"/>
    <n v="599.89"/>
  </r>
  <r>
    <n v="282"/>
    <s v="Electra Cyclosaurus 1 (16-inch) - Boy's - 2018"/>
    <n v="1"/>
    <n v="1"/>
    <n v="2018"/>
    <n v="279.99"/>
    <x v="4"/>
    <n v="299.94"/>
  </r>
  <r>
    <n v="283"/>
    <s v="Electra Heartchya 1 (20-inch) - Girl's - 2018"/>
    <n v="1"/>
    <n v="1"/>
    <n v="2018"/>
    <n v="319.99"/>
    <x v="4"/>
    <n v="1199.78"/>
  </r>
  <r>
    <n v="284"/>
    <s v="Electra Savannah 1 (20-inch) - Girl's - 2018"/>
    <n v="1"/>
    <n v="1"/>
    <n v="2018"/>
    <n v="319.99"/>
    <x v="4"/>
    <n v="749.92"/>
  </r>
  <r>
    <n v="285"/>
    <s v="Electra Soft Serve 1 (16-inch) - Girl's - 2018"/>
    <n v="1"/>
    <n v="1"/>
    <n v="2018"/>
    <n v="279.99"/>
    <x v="4"/>
    <n v="939.78"/>
  </r>
  <r>
    <n v="286"/>
    <s v="Electra Starship 1 16&quot; - 2018"/>
    <n v="1"/>
    <n v="1"/>
    <n v="2018"/>
    <n v="279.99"/>
    <x v="4"/>
    <n v="448.9"/>
  </r>
  <r>
    <n v="287"/>
    <s v="Electra Straight 8 1 (16-inch) - Boy's - 2018"/>
    <n v="1"/>
    <n v="1"/>
    <n v="2018"/>
    <n v="279.99"/>
    <x v="4"/>
    <n v="448.93"/>
  </r>
  <r>
    <n v="288"/>
    <s v="Electra Straight 8 1 (20-inch) - Boy's - 2018"/>
    <n v="1"/>
    <n v="1"/>
    <n v="2018"/>
    <n v="389.99"/>
    <x v="4"/>
    <n v="269.89"/>
  </r>
  <r>
    <n v="289"/>
    <s v="Electra Superbolt 1 20&quot; - 2018"/>
    <n v="1"/>
    <n v="1"/>
    <n v="2018"/>
    <n v="319.99"/>
    <x v="4"/>
    <n v="749.79"/>
  </r>
  <r>
    <n v="290"/>
    <s v="Electra Superbolt 3i 20&quot; - 2018"/>
    <n v="1"/>
    <n v="1"/>
    <n v="2018"/>
    <n v="369.99"/>
    <x v="4"/>
    <n v="539.78"/>
  </r>
  <r>
    <n v="291"/>
    <s v="Electra Sweet Ride 1 (20-inch) - Girl's - 2018"/>
    <n v="1"/>
    <n v="1"/>
    <n v="2018"/>
    <n v="319.99"/>
    <x v="4"/>
    <n v="269.79000000000002"/>
  </r>
  <r>
    <n v="292"/>
    <s v="Electra Sweet Ride 3i (20-inch) - Girls' - 2018"/>
    <n v="1"/>
    <n v="1"/>
    <n v="2018"/>
    <n v="369.99"/>
    <x v="4"/>
    <n v="269.79000000000002"/>
  </r>
  <r>
    <n v="293"/>
    <s v="Electra Tiger Shark 1 (20-inch) - Boys' - 2018"/>
    <n v="1"/>
    <n v="1"/>
    <n v="2018"/>
    <n v="319.99"/>
    <x v="4"/>
    <n v="999.93000000000006"/>
  </r>
  <r>
    <n v="294"/>
    <s v="Electra Tiger Shark 3i (20-inch) - Boys' - 2018"/>
    <n v="1"/>
    <n v="1"/>
    <n v="2018"/>
    <n v="369.99"/>
    <x v="4"/>
    <n v="7999.91"/>
  </r>
  <r>
    <n v="295"/>
    <s v="Electra Treasure 1 20&quot; - 2018"/>
    <n v="1"/>
    <n v="1"/>
    <n v="2018"/>
    <n v="319.99"/>
    <x v="4"/>
    <n v="599.78"/>
  </r>
  <r>
    <n v="296"/>
    <s v="Electra Treasure 3i 20&quot; - 2018"/>
    <n v="1"/>
    <n v="1"/>
    <n v="2018"/>
    <n v="369.99"/>
    <x v="4"/>
    <n v="1099.93"/>
  </r>
  <r>
    <n v="297"/>
    <s v="Electra Under-The-Sea 1 16&quot; - 2018"/>
    <n v="1"/>
    <n v="1"/>
    <n v="2018"/>
    <n v="279.99"/>
    <x v="4"/>
    <n v="3361.88"/>
  </r>
  <r>
    <n v="298"/>
    <s v="Electra Water Lily 1 (16-inch) - Girl's - 2018"/>
    <n v="1"/>
    <n v="1"/>
    <n v="2018"/>
    <n v="279.99"/>
    <x v="4"/>
    <n v="7999.78"/>
  </r>
  <r>
    <n v="299"/>
    <s v="Electra Townie Original 21D - 2018"/>
    <n v="1"/>
    <n v="2"/>
    <n v="2018"/>
    <n v="559.99"/>
    <x v="5"/>
    <n v="1199.78"/>
  </r>
  <r>
    <n v="300"/>
    <s v="Electra Townie Balloon 3i EQ Ladies' - 2018"/>
    <n v="1"/>
    <n v="2"/>
    <n v="2018"/>
    <n v="799.99"/>
    <x v="5"/>
    <n v="1099.8800000000001"/>
  </r>
  <r>
    <n v="301"/>
    <s v="Electra Townie Balloon 7i EQ - 2018"/>
    <n v="1"/>
    <n v="2"/>
    <n v="2018"/>
    <n v="899.99"/>
    <x v="5"/>
    <n v="1099.78"/>
  </r>
  <r>
    <n v="302"/>
    <s v="Electra Townie Original 1 - 2018"/>
    <n v="1"/>
    <n v="2"/>
    <n v="2018"/>
    <n v="449.99"/>
    <x v="5"/>
    <n v="529.94000000000005"/>
  </r>
  <r>
    <n v="303"/>
    <s v="Electra Townie Go! 8i - 2017/2018"/>
    <n v="1"/>
    <n v="2"/>
    <n v="2018"/>
    <n v="2599.9899999999998"/>
    <x v="5"/>
    <n v="269.92"/>
  </r>
  <r>
    <n v="304"/>
    <s v="Electra Townie Original 21D EQ - 2017/2018"/>
    <n v="1"/>
    <n v="2"/>
    <n v="2018"/>
    <n v="679.99"/>
    <x v="5"/>
    <n v="428.93"/>
  </r>
  <r>
    <n v="305"/>
    <s v="Electra Townie Balloon 3i EQ - 2017/2018"/>
    <n v="1"/>
    <n v="2"/>
    <n v="2018"/>
    <n v="749.99"/>
    <x v="5"/>
    <n v="999.94"/>
  </r>
  <r>
    <n v="306"/>
    <s v="Electra Townie Balloon 7i EQ Ladies' - 2017/2018"/>
    <n v="1"/>
    <n v="2"/>
    <n v="2018"/>
    <n v="899.99"/>
    <x v="5"/>
    <n v="448.8"/>
  </r>
  <r>
    <n v="307"/>
    <s v="Electra Townie Balloon 8D EQ - 2016/2017/2018"/>
    <n v="1"/>
    <n v="2"/>
    <n v="2018"/>
    <n v="749.99"/>
    <x v="5"/>
    <n v="1059.8800000000001"/>
  </r>
  <r>
    <n v="308"/>
    <s v="Electra Townie Balloon 8D EQ Ladies' - 2016/2017/2018"/>
    <n v="1"/>
    <n v="2"/>
    <n v="2018"/>
    <n v="749.99"/>
    <x v="5"/>
    <n v="5999.8799999999992"/>
  </r>
  <r>
    <n v="309"/>
    <s v="Electra Townie Commute 27D - 2018"/>
    <n v="1"/>
    <n v="2"/>
    <n v="2018"/>
    <n v="899.99"/>
    <x v="5"/>
    <n v="897.9"/>
  </r>
  <r>
    <n v="310"/>
    <s v="Electra Townie Commute 27D Ladies - 2018"/>
    <n v="1"/>
    <n v="2"/>
    <n v="2018"/>
    <n v="899.99"/>
    <x v="5"/>
    <n v="599.94000000000005"/>
  </r>
  <r>
    <n v="311"/>
    <s v="Electra Townie Commute 8D - 2018"/>
    <n v="1"/>
    <n v="2"/>
    <n v="2018"/>
    <n v="749.99"/>
    <x v="5"/>
    <n v="3361.78"/>
  </r>
  <r>
    <n v="312"/>
    <s v="Electra Townie Commute 8D Ladies' - 2018"/>
    <n v="1"/>
    <n v="2"/>
    <n v="2018"/>
    <n v="699.99"/>
    <x v="5"/>
    <n v="999.94"/>
  </r>
  <r>
    <n v="313"/>
    <s v="Electra Townie Original 1 Ladies' - 2018"/>
    <n v="1"/>
    <n v="2"/>
    <n v="2018"/>
    <n v="449.99"/>
    <x v="5"/>
    <n v="2999.9399999999996"/>
  </r>
  <r>
    <n v="314"/>
    <s v="Electra Townie Original 21D EQ Ladies' - 2018"/>
    <n v="1"/>
    <n v="2"/>
    <n v="2018"/>
    <n v="679.99"/>
    <x v="5"/>
    <n v="428.9"/>
  </r>
  <r>
    <n v="315"/>
    <s v="Electra Townie Original 21D Ladies' - 2018"/>
    <n v="1"/>
    <n v="2"/>
    <n v="2018"/>
    <n v="559.99"/>
    <x v="5"/>
    <n v="539.88"/>
  </r>
  <r>
    <n v="316"/>
    <s v="Trek Checkpoint ALR 4 Women's - 2019"/>
    <n v="9"/>
    <n v="7"/>
    <n v="2019"/>
    <n v="1699.99"/>
    <x v="6"/>
    <n v="448.8"/>
  </r>
  <r>
    <n v="317"/>
    <s v="Trek Checkpoint ALR 5 - 2019"/>
    <n v="9"/>
    <n v="7"/>
    <n v="2019"/>
    <n v="1999.99"/>
    <x v="6"/>
    <n v="539.88"/>
  </r>
  <r>
    <n v="318"/>
    <s v="Trek Checkpoint ALR 5 Women's - 2019"/>
    <n v="9"/>
    <n v="7"/>
    <n v="2019"/>
    <n v="1999.99"/>
    <x v="6"/>
    <n v="1680.89"/>
  </r>
  <r>
    <n v="319"/>
    <s v="Trek Checkpoint SL 5 Women's - 2019"/>
    <n v="9"/>
    <n v="7"/>
    <n v="2019"/>
    <n v="2799.99"/>
    <x v="6"/>
    <n v="539.91"/>
  </r>
  <r>
    <n v="320"/>
    <s v="Trek Checkpoint SL 6 - 2019"/>
    <n v="9"/>
    <n v="7"/>
    <n v="2019"/>
    <n v="3799.99"/>
    <x v="6"/>
    <n v="1199.93"/>
  </r>
  <r>
    <n v="321"/>
    <s v="Trek Checkpoint ALR Frameset - 2019"/>
    <n v="9"/>
    <n v="7"/>
    <n v="2019"/>
    <n v="3199.99"/>
    <x v="6"/>
    <n v="539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2EFC9-ED91-422D-A8B7-634B50275E9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9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  <pivotField dataField="1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44FC-EA8F-45AF-BD3A-F7776C70406E}">
  <dimension ref="A1:I4723"/>
  <sheetViews>
    <sheetView workbookViewId="0">
      <selection activeCell="J2" sqref="J2"/>
    </sheetView>
  </sheetViews>
  <sheetFormatPr defaultRowHeight="15" x14ac:dyDescent="0.25"/>
  <cols>
    <col min="1" max="1" width="10.5703125" bestFit="1" customWidth="1"/>
    <col min="2" max="2" width="9.7109375" bestFit="1" customWidth="1"/>
    <col min="3" max="3" width="12.7109375" bestFit="1" customWidth="1"/>
    <col min="4" max="4" width="10.42578125" bestFit="1" customWidth="1"/>
    <col min="5" max="5" width="11.28515625" bestFit="1" customWidth="1"/>
    <col min="6" max="6" width="11" bestFit="1" customWidth="1"/>
    <col min="7" max="7" width="13" bestFit="1" customWidth="1"/>
    <col min="8" max="8" width="4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302</v>
      </c>
      <c r="I1" s="1" t="s">
        <v>312</v>
      </c>
    </row>
    <row r="2" spans="1:9" x14ac:dyDescent="0.2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 s="1">
        <f>(E2*D2)-F2</f>
        <v>599.79</v>
      </c>
      <c r="H2" s="1" t="str">
        <f>_xlfn.XLOOKUP(C2,Product!A:A,Product!B:B,"not found",0)</f>
        <v>Electra Townie Original 7D EQ - Women's - 2016</v>
      </c>
      <c r="I2" s="1">
        <f>(D2*E2)-F2</f>
        <v>599.79</v>
      </c>
    </row>
    <row r="3" spans="1:9" x14ac:dyDescent="0.2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 s="1">
        <f t="shared" ref="G3:G66" si="0">(E3*D3)-F3</f>
        <v>3599.91</v>
      </c>
      <c r="H3" s="1" t="str">
        <f>_xlfn.XLOOKUP(C3,Product!A:A,Product!B:B,"not found",0)</f>
        <v>Trek Remedy 29 Carbon Frameset - 2016</v>
      </c>
      <c r="I3" s="1">
        <f t="shared" ref="I3:I66" si="1">(D3*E3)-F3</f>
        <v>3599.91</v>
      </c>
    </row>
    <row r="4" spans="1:9" x14ac:dyDescent="0.2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 s="1">
        <f t="shared" si="0"/>
        <v>3097.95</v>
      </c>
      <c r="H4" s="1" t="str">
        <f>_xlfn.XLOOKUP(C4,Product!A:A,Product!B:B,"not found",0)</f>
        <v>Surly Straggler - 2016</v>
      </c>
      <c r="I4" s="1">
        <f t="shared" si="1"/>
        <v>3097.95</v>
      </c>
    </row>
    <row r="5" spans="1:9" x14ac:dyDescent="0.2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 s="1">
        <f t="shared" si="0"/>
        <v>1199.93</v>
      </c>
      <c r="H5" s="1" t="str">
        <f>_xlfn.XLOOKUP(C5,Product!A:A,Product!B:B,"not found",0)</f>
        <v>Electra Townie Original 7D EQ - 2016</v>
      </c>
      <c r="I5" s="1">
        <f t="shared" si="1"/>
        <v>1199.93</v>
      </c>
    </row>
    <row r="6" spans="1:9" x14ac:dyDescent="0.2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 s="1">
        <f t="shared" si="0"/>
        <v>2899.79</v>
      </c>
      <c r="H6" s="1" t="str">
        <f>_xlfn.XLOOKUP(C6,Product!A:A,Product!B:B,"not found",0)</f>
        <v>Trek Fuel EX 8 29 - 2016</v>
      </c>
      <c r="I6" s="1">
        <f t="shared" si="1"/>
        <v>2899.79</v>
      </c>
    </row>
    <row r="7" spans="1:9" x14ac:dyDescent="0.2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 s="1">
        <f t="shared" si="0"/>
        <v>599.91999999999996</v>
      </c>
      <c r="H7" s="1" t="str">
        <f>_xlfn.XLOOKUP(C7,Product!A:A,Product!B:B,"not found",0)</f>
        <v>Electra Townie Original 7D EQ - Women's - 2016</v>
      </c>
      <c r="I7" s="1">
        <f t="shared" si="1"/>
        <v>599.91999999999996</v>
      </c>
    </row>
    <row r="8" spans="1:9" x14ac:dyDescent="0.2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 s="1">
        <f t="shared" si="0"/>
        <v>1199.93</v>
      </c>
      <c r="H8" s="1" t="str">
        <f>_xlfn.XLOOKUP(C8,Product!A:A,Product!B:B,"not found",0)</f>
        <v>Electra Townie Original 7D EQ - 2016</v>
      </c>
      <c r="I8" s="1">
        <f t="shared" si="1"/>
        <v>1199.93</v>
      </c>
    </row>
    <row r="9" spans="1:9" x14ac:dyDescent="0.2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 s="1">
        <f t="shared" si="0"/>
        <v>999.94</v>
      </c>
      <c r="H9" s="1" t="str">
        <f>_xlfn.XLOOKUP(C9,Product!A:A,Product!B:B,"not found",0)</f>
        <v>Surly Wednesday Frameset - 2016</v>
      </c>
      <c r="I9" s="1">
        <f t="shared" si="1"/>
        <v>999.94</v>
      </c>
    </row>
    <row r="10" spans="1:9" x14ac:dyDescent="0.2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 s="1">
        <f t="shared" si="0"/>
        <v>599.94000000000005</v>
      </c>
      <c r="H10" s="1" t="str">
        <f>_xlfn.XLOOKUP(C10,Product!A:A,Product!B:B,"not found",0)</f>
        <v>Electra Townie Original 7D EQ - Women's - 2016</v>
      </c>
      <c r="I10" s="1">
        <f t="shared" si="1"/>
        <v>599.94000000000005</v>
      </c>
    </row>
    <row r="11" spans="1:9" x14ac:dyDescent="0.2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 s="1">
        <f t="shared" si="0"/>
        <v>1499.88</v>
      </c>
      <c r="H11" s="1" t="str">
        <f>_xlfn.XLOOKUP(C11,Product!A:A,Product!B:B,"not found",0)</f>
        <v>Ritchey Timberwolf Frameset - 2016</v>
      </c>
      <c r="I11" s="1">
        <f t="shared" si="1"/>
        <v>1499.88</v>
      </c>
    </row>
    <row r="12" spans="1:9" x14ac:dyDescent="0.2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 s="1">
        <f t="shared" si="0"/>
        <v>3097.95</v>
      </c>
      <c r="H12" s="1" t="str">
        <f>_xlfn.XLOOKUP(C12,Product!A:A,Product!B:B,"not found",0)</f>
        <v>Surly Straggler - 2016</v>
      </c>
      <c r="I12" s="1">
        <f t="shared" si="1"/>
        <v>3097.95</v>
      </c>
    </row>
    <row r="13" spans="1:9" x14ac:dyDescent="0.2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 s="1">
        <f t="shared" si="0"/>
        <v>428.93</v>
      </c>
      <c r="H13" s="1" t="str">
        <f>_xlfn.XLOOKUP(C13,Product!A:A,Product!B:B,"not found",0)</f>
        <v>Pure Cycles Vine 8-Speed - 2016</v>
      </c>
      <c r="I13" s="1">
        <f t="shared" si="1"/>
        <v>428.93</v>
      </c>
    </row>
    <row r="14" spans="1:9" x14ac:dyDescent="0.2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 s="1">
        <f t="shared" si="0"/>
        <v>599.91999999999996</v>
      </c>
      <c r="H14" s="1" t="str">
        <f>_xlfn.XLOOKUP(C14,Product!A:A,Product!B:B,"not found",0)</f>
        <v>Electra Townie Original 7D EQ - 2016</v>
      </c>
      <c r="I14" s="1">
        <f t="shared" si="1"/>
        <v>599.91999999999996</v>
      </c>
    </row>
    <row r="15" spans="1:9" x14ac:dyDescent="0.2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 s="1">
        <f t="shared" si="0"/>
        <v>448.93</v>
      </c>
      <c r="H15" s="1" t="str">
        <f>_xlfn.XLOOKUP(C15,Product!A:A,Product!B:B,"not found",0)</f>
        <v>Pure Cycles Western 3-Speed - Women's - 2015/2016</v>
      </c>
      <c r="I15" s="1">
        <f t="shared" si="1"/>
        <v>448.93</v>
      </c>
    </row>
    <row r="16" spans="1:9" x14ac:dyDescent="0.2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 s="1">
        <f t="shared" si="0"/>
        <v>1099.93</v>
      </c>
      <c r="H16" s="1" t="str">
        <f>_xlfn.XLOOKUP(C16,Product!A:A,Product!B:B,"not found",0)</f>
        <v>Electra Townie Original 21D - 2016</v>
      </c>
      <c r="I16" s="1">
        <f t="shared" si="1"/>
        <v>1099.93</v>
      </c>
    </row>
    <row r="17" spans="1:9" x14ac:dyDescent="0.2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 s="1">
        <f t="shared" si="0"/>
        <v>599.89</v>
      </c>
      <c r="H17" s="1" t="str">
        <f>_xlfn.XLOOKUP(C17,Product!A:A,Product!B:B,"not found",0)</f>
        <v>Electra Townie Original 7D EQ - Women's - 2016</v>
      </c>
      <c r="I17" s="1">
        <f t="shared" si="1"/>
        <v>599.89</v>
      </c>
    </row>
    <row r="18" spans="1:9" x14ac:dyDescent="0.2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 s="1">
        <f t="shared" si="0"/>
        <v>1999.91</v>
      </c>
      <c r="H18" s="1" t="str">
        <f>_xlfn.XLOOKUP(C18,Product!A:A,Product!B:B,"not found",0)</f>
        <v>Surly Wednesday Frameset - 2016</v>
      </c>
      <c r="I18" s="1">
        <f t="shared" si="1"/>
        <v>1999.91</v>
      </c>
    </row>
    <row r="19" spans="1:9" x14ac:dyDescent="0.2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 s="1">
        <f t="shared" si="0"/>
        <v>5999.91</v>
      </c>
      <c r="H19" s="1" t="str">
        <f>_xlfn.XLOOKUP(C19,Product!A:A,Product!B:B,"not found",0)</f>
        <v>Trek Conduit+ - 2016</v>
      </c>
      <c r="I19" s="1">
        <f t="shared" si="1"/>
        <v>5999.91</v>
      </c>
    </row>
    <row r="20" spans="1:9" x14ac:dyDescent="0.2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 s="1">
        <f t="shared" si="0"/>
        <v>529.91999999999996</v>
      </c>
      <c r="H20" s="1" t="str">
        <f>_xlfn.XLOOKUP(C20,Product!A:A,Product!B:B,"not found",0)</f>
        <v>Electra Moto 1 - 2016</v>
      </c>
      <c r="I20" s="1">
        <f t="shared" si="1"/>
        <v>529.91999999999996</v>
      </c>
    </row>
    <row r="21" spans="1:9" x14ac:dyDescent="0.2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 s="1">
        <f t="shared" si="0"/>
        <v>999.89</v>
      </c>
      <c r="H21" s="1" t="str">
        <f>_xlfn.XLOOKUP(C21,Product!A:A,Product!B:B,"not found",0)</f>
        <v>Surly Wednesday Frameset - 2016</v>
      </c>
      <c r="I21" s="1">
        <f t="shared" si="1"/>
        <v>999.89</v>
      </c>
    </row>
    <row r="22" spans="1:9" x14ac:dyDescent="0.2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 s="1">
        <f t="shared" si="0"/>
        <v>857.9</v>
      </c>
      <c r="H22" s="1" t="str">
        <f>_xlfn.XLOOKUP(C22,Product!A:A,Product!B:B,"not found",0)</f>
        <v>Pure Cycles Vine 8-Speed - 2016</v>
      </c>
      <c r="I22" s="1">
        <f t="shared" si="1"/>
        <v>857.9</v>
      </c>
    </row>
    <row r="23" spans="1:9" x14ac:dyDescent="0.2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 s="1">
        <f t="shared" si="0"/>
        <v>269.94</v>
      </c>
      <c r="H23" s="1" t="str">
        <f>_xlfn.XLOOKUP(C23,Product!A:A,Product!B:B,"not found",0)</f>
        <v>Electra Girl's Hawaii 1 (16-inch) - 2015/2016</v>
      </c>
      <c r="I23" s="1">
        <f t="shared" si="1"/>
        <v>269.94</v>
      </c>
    </row>
    <row r="24" spans="1:9" x14ac:dyDescent="0.2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 s="1">
        <f t="shared" si="0"/>
        <v>1199.9100000000001</v>
      </c>
      <c r="H24" s="1" t="str">
        <f>_xlfn.XLOOKUP(C24,Product!A:A,Product!B:B,"not found",0)</f>
        <v>Electra Townie Original 7D EQ - Women's - 2016</v>
      </c>
      <c r="I24" s="1">
        <f t="shared" si="1"/>
        <v>1199.9100000000001</v>
      </c>
    </row>
    <row r="25" spans="1:9" x14ac:dyDescent="0.2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 s="1">
        <f t="shared" si="0"/>
        <v>7999.8799999999992</v>
      </c>
      <c r="H25" s="1" t="str">
        <f>_xlfn.XLOOKUP(C25,Product!A:A,Product!B:B,"not found",0)</f>
        <v>Trek Slash 8 27.5 - 2016</v>
      </c>
      <c r="I25" s="1">
        <f t="shared" si="1"/>
        <v>7999.8799999999992</v>
      </c>
    </row>
    <row r="26" spans="1:9" x14ac:dyDescent="0.2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 s="1">
        <f t="shared" si="0"/>
        <v>269.89</v>
      </c>
      <c r="H26" s="1" t="str">
        <f>_xlfn.XLOOKUP(C26,Product!A:A,Product!B:B,"not found",0)</f>
        <v>Electra Girl's Hawaii 1 (16-inch) - 2015/2016</v>
      </c>
      <c r="I26" s="1">
        <f t="shared" si="1"/>
        <v>269.89</v>
      </c>
    </row>
    <row r="27" spans="1:9" x14ac:dyDescent="0.2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 s="1">
        <f t="shared" si="0"/>
        <v>1799.94</v>
      </c>
      <c r="H27" s="1" t="str">
        <f>_xlfn.XLOOKUP(C27,Product!A:A,Product!B:B,"not found",0)</f>
        <v>Trek Remedy 29 Carbon Frameset - 2016</v>
      </c>
      <c r="I27" s="1">
        <f t="shared" si="1"/>
        <v>1799.94</v>
      </c>
    </row>
    <row r="28" spans="1:9" x14ac:dyDescent="0.2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 s="1">
        <f t="shared" si="0"/>
        <v>539.88</v>
      </c>
      <c r="H28" s="1" t="str">
        <f>_xlfn.XLOOKUP(C28,Product!A:A,Product!B:B,"not found",0)</f>
        <v>Electra Girl's Hawaii 1 (16-inch) - 2015/2016</v>
      </c>
      <c r="I28" s="1">
        <f t="shared" si="1"/>
        <v>539.88</v>
      </c>
    </row>
    <row r="29" spans="1:9" x14ac:dyDescent="0.2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 s="1">
        <f t="shared" si="0"/>
        <v>1199.78</v>
      </c>
      <c r="H29" s="1" t="str">
        <f>_xlfn.XLOOKUP(C29,Product!A:A,Product!B:B,"not found",0)</f>
        <v>Electra Townie Original 7D EQ - 2016</v>
      </c>
      <c r="I29" s="1">
        <f t="shared" si="1"/>
        <v>1199.78</v>
      </c>
    </row>
    <row r="30" spans="1:9" x14ac:dyDescent="0.2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 s="1">
        <f t="shared" si="0"/>
        <v>5799.8799999999992</v>
      </c>
      <c r="H30" s="1" t="str">
        <f>_xlfn.XLOOKUP(C30,Product!A:A,Product!B:B,"not found",0)</f>
        <v>Trek Fuel EX 8 29 - 2016</v>
      </c>
      <c r="I30" s="1">
        <f t="shared" si="1"/>
        <v>5799.8799999999992</v>
      </c>
    </row>
    <row r="31" spans="1:9" x14ac:dyDescent="0.2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 s="1">
        <f t="shared" si="0"/>
        <v>1680.94</v>
      </c>
      <c r="H31" s="1" t="str">
        <f>_xlfn.XLOOKUP(C31,Product!A:A,Product!B:B,"not found",0)</f>
        <v>Surly Straggler 650b - 2016</v>
      </c>
      <c r="I31" s="1">
        <f t="shared" si="1"/>
        <v>1680.94</v>
      </c>
    </row>
    <row r="32" spans="1:9" x14ac:dyDescent="0.2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 s="1">
        <f t="shared" si="0"/>
        <v>269.89</v>
      </c>
      <c r="H32" s="1" t="str">
        <f>_xlfn.XLOOKUP(C32,Product!A:A,Product!B:B,"not found",0)</f>
        <v>Electra Cruiser 1 (24-Inch) - 2016</v>
      </c>
      <c r="I32" s="1">
        <f t="shared" si="1"/>
        <v>269.89</v>
      </c>
    </row>
    <row r="33" spans="1:9" x14ac:dyDescent="0.2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 s="1">
        <f t="shared" si="0"/>
        <v>857.95</v>
      </c>
      <c r="H33" s="1" t="str">
        <f>_xlfn.XLOOKUP(C33,Product!A:A,Product!B:B,"not found",0)</f>
        <v>Pure Cycles Vine 8-Speed - 2016</v>
      </c>
      <c r="I33" s="1">
        <f t="shared" si="1"/>
        <v>857.95</v>
      </c>
    </row>
    <row r="34" spans="1:9" x14ac:dyDescent="0.2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 s="1">
        <f t="shared" si="0"/>
        <v>1199.8800000000001</v>
      </c>
      <c r="H34" s="1" t="str">
        <f>_xlfn.XLOOKUP(C34,Product!A:A,Product!B:B,"not found",0)</f>
        <v>Electra Townie Original 7D EQ - Women's - 2016</v>
      </c>
      <c r="I34" s="1">
        <f t="shared" si="1"/>
        <v>1199.8800000000001</v>
      </c>
    </row>
    <row r="35" spans="1:9" x14ac:dyDescent="0.2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 s="1">
        <f t="shared" si="0"/>
        <v>1199.93</v>
      </c>
      <c r="H35" s="1" t="str">
        <f>_xlfn.XLOOKUP(C35,Product!A:A,Product!B:B,"not found",0)</f>
        <v>Electra Townie Original 7D EQ - 2016</v>
      </c>
      <c r="I35" s="1">
        <f t="shared" si="1"/>
        <v>1199.93</v>
      </c>
    </row>
    <row r="36" spans="1:9" x14ac:dyDescent="0.2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 s="1">
        <f t="shared" si="0"/>
        <v>469.92</v>
      </c>
      <c r="H36" s="1" t="str">
        <f>_xlfn.XLOOKUP(C36,Product!A:A,Product!B:B,"not found",0)</f>
        <v>Surly Ice Cream Truck Frameset - 2016</v>
      </c>
      <c r="I36" s="1">
        <f t="shared" si="1"/>
        <v>469.92</v>
      </c>
    </row>
    <row r="37" spans="1:9" x14ac:dyDescent="0.2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 s="1">
        <f t="shared" si="0"/>
        <v>1099.9100000000001</v>
      </c>
      <c r="H37" s="1" t="str">
        <f>_xlfn.XLOOKUP(C37,Product!A:A,Product!B:B,"not found",0)</f>
        <v>Electra Townie Original 21D - 2016</v>
      </c>
      <c r="I37" s="1">
        <f t="shared" si="1"/>
        <v>1099.9100000000001</v>
      </c>
    </row>
    <row r="38" spans="1:9" x14ac:dyDescent="0.2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 s="1">
        <f t="shared" si="0"/>
        <v>1799.92</v>
      </c>
      <c r="H38" s="1" t="str">
        <f>_xlfn.XLOOKUP(C38,Product!A:A,Product!B:B,"not found",0)</f>
        <v>Trek Remedy 29 Carbon Frameset - 2016</v>
      </c>
      <c r="I38" s="1">
        <f t="shared" si="1"/>
        <v>1799.92</v>
      </c>
    </row>
    <row r="39" spans="1:9" x14ac:dyDescent="0.2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 s="1">
        <f t="shared" si="0"/>
        <v>897.95</v>
      </c>
      <c r="H39" s="1" t="str">
        <f>_xlfn.XLOOKUP(C39,Product!A:A,Product!B:B,"not found",0)</f>
        <v>Pure Cycles Western 3-Speed - Women's - 2015/2016</v>
      </c>
      <c r="I39" s="1">
        <f t="shared" si="1"/>
        <v>897.95</v>
      </c>
    </row>
    <row r="40" spans="1:9" x14ac:dyDescent="0.2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 s="1">
        <f t="shared" si="0"/>
        <v>599.78</v>
      </c>
      <c r="H40" s="1" t="str">
        <f>_xlfn.XLOOKUP(C40,Product!A:A,Product!B:B,"not found",0)</f>
        <v>Electra Girl's Hawaii 1 (20-inch) - 2015/2016</v>
      </c>
      <c r="I40" s="1">
        <f t="shared" si="1"/>
        <v>599.78</v>
      </c>
    </row>
    <row r="41" spans="1:9" x14ac:dyDescent="0.2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 s="1">
        <f t="shared" si="0"/>
        <v>1799.79</v>
      </c>
      <c r="H41" s="1" t="str">
        <f>_xlfn.XLOOKUP(C41,Product!A:A,Product!B:B,"not found",0)</f>
        <v>Trek Remedy 29 Carbon Frameset - 2016</v>
      </c>
      <c r="I41" s="1">
        <f t="shared" si="1"/>
        <v>1799.79</v>
      </c>
    </row>
    <row r="42" spans="1:9" x14ac:dyDescent="0.2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 s="1">
        <f t="shared" si="0"/>
        <v>269.94</v>
      </c>
      <c r="H42" s="1" t="str">
        <f>_xlfn.XLOOKUP(C42,Product!A:A,Product!B:B,"not found",0)</f>
        <v>Electra Cruiser 1 (24-Inch) - 2016</v>
      </c>
      <c r="I42" s="1">
        <f t="shared" si="1"/>
        <v>269.94</v>
      </c>
    </row>
    <row r="43" spans="1:9" x14ac:dyDescent="0.2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 s="1">
        <f t="shared" si="0"/>
        <v>539.91</v>
      </c>
      <c r="H43" s="1" t="str">
        <f>_xlfn.XLOOKUP(C43,Product!A:A,Product!B:B,"not found",0)</f>
        <v>Electra Cruiser 1 (24-Inch) - 2016</v>
      </c>
      <c r="I43" s="1">
        <f t="shared" si="1"/>
        <v>539.91</v>
      </c>
    </row>
    <row r="44" spans="1:9" x14ac:dyDescent="0.2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 s="1">
        <f t="shared" si="0"/>
        <v>269.92</v>
      </c>
      <c r="H44" s="1" t="str">
        <f>_xlfn.XLOOKUP(C44,Product!A:A,Product!B:B,"not found",0)</f>
        <v>Electra Girl's Hawaii 1 (16-inch) - 2015/2016</v>
      </c>
      <c r="I44" s="1">
        <f t="shared" si="1"/>
        <v>269.92</v>
      </c>
    </row>
    <row r="45" spans="1:9" x14ac:dyDescent="0.2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 s="1">
        <f t="shared" si="0"/>
        <v>1799.92</v>
      </c>
      <c r="H45" s="1" t="str">
        <f>_xlfn.XLOOKUP(C45,Product!A:A,Product!B:B,"not found",0)</f>
        <v>Trek Remedy 29 Carbon Frameset - 2016</v>
      </c>
      <c r="I45" s="1">
        <f t="shared" si="1"/>
        <v>1799.92</v>
      </c>
    </row>
    <row r="46" spans="1:9" x14ac:dyDescent="0.2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 s="1">
        <f t="shared" si="0"/>
        <v>299.89</v>
      </c>
      <c r="H46" s="1" t="str">
        <f>_xlfn.XLOOKUP(C46,Product!A:A,Product!B:B,"not found",0)</f>
        <v>Electra Girl's Hawaii 1 (20-inch) - 2015/2016</v>
      </c>
      <c r="I46" s="1">
        <f t="shared" si="1"/>
        <v>299.89</v>
      </c>
    </row>
    <row r="47" spans="1:9" x14ac:dyDescent="0.2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 s="1">
        <f t="shared" si="0"/>
        <v>1320.89</v>
      </c>
      <c r="H47" s="1" t="str">
        <f>_xlfn.XLOOKUP(C47,Product!A:A,Product!B:B,"not found",0)</f>
        <v>Heller Shagamaw Frame - 2016</v>
      </c>
      <c r="I47" s="1">
        <f t="shared" si="1"/>
        <v>1320.89</v>
      </c>
    </row>
    <row r="48" spans="1:9" x14ac:dyDescent="0.2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 s="1">
        <f t="shared" si="0"/>
        <v>1199.78</v>
      </c>
      <c r="H48" s="1" t="str">
        <f>_xlfn.XLOOKUP(C48,Product!A:A,Product!B:B,"not found",0)</f>
        <v>Electra Townie Original 7D EQ - Women's - 2016</v>
      </c>
      <c r="I48" s="1">
        <f t="shared" si="1"/>
        <v>1199.78</v>
      </c>
    </row>
    <row r="49" spans="1:9" x14ac:dyDescent="0.2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 s="1">
        <f t="shared" si="0"/>
        <v>1499.78</v>
      </c>
      <c r="H49" s="1" t="str">
        <f>_xlfn.XLOOKUP(C49,Product!A:A,Product!B:B,"not found",0)</f>
        <v>Ritchey Timberwolf Frameset - 2016</v>
      </c>
      <c r="I49" s="1">
        <f t="shared" si="1"/>
        <v>1499.78</v>
      </c>
    </row>
    <row r="50" spans="1:9" x14ac:dyDescent="0.2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 s="1">
        <f t="shared" si="0"/>
        <v>269.94</v>
      </c>
      <c r="H50" s="1" t="str">
        <f>_xlfn.XLOOKUP(C50,Product!A:A,Product!B:B,"not found",0)</f>
        <v>Electra Girl's Hawaii 1 (16-inch) - 2015/2016</v>
      </c>
      <c r="I50" s="1">
        <f t="shared" si="1"/>
        <v>269.94</v>
      </c>
    </row>
    <row r="51" spans="1:9" x14ac:dyDescent="0.2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 s="1">
        <f t="shared" si="0"/>
        <v>3999.89</v>
      </c>
      <c r="H51" s="1" t="str">
        <f>_xlfn.XLOOKUP(C51,Product!A:A,Product!B:B,"not found",0)</f>
        <v>Trek Slash 8 27.5 - 2016</v>
      </c>
      <c r="I51" s="1">
        <f t="shared" si="1"/>
        <v>3999.89</v>
      </c>
    </row>
    <row r="52" spans="1:9" x14ac:dyDescent="0.2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 s="1">
        <f t="shared" si="0"/>
        <v>999.93000000000006</v>
      </c>
      <c r="H52" s="1" t="str">
        <f>_xlfn.XLOOKUP(C52,Product!A:A,Product!B:B,"not found",0)</f>
        <v>Electra Townie Original 7D - 2015/2016</v>
      </c>
      <c r="I52" s="1">
        <f t="shared" si="1"/>
        <v>999.93000000000006</v>
      </c>
    </row>
    <row r="53" spans="1:9" x14ac:dyDescent="0.2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 s="1">
        <f t="shared" si="0"/>
        <v>5999.8799999999992</v>
      </c>
      <c r="H53" s="1" t="str">
        <f>_xlfn.XLOOKUP(C53,Product!A:A,Product!B:B,"not found",0)</f>
        <v>Trek Conduit+ - 2016</v>
      </c>
      <c r="I53" s="1">
        <f t="shared" si="1"/>
        <v>5999.8799999999992</v>
      </c>
    </row>
    <row r="54" spans="1:9" x14ac:dyDescent="0.2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 s="1">
        <f t="shared" si="0"/>
        <v>1548.93</v>
      </c>
      <c r="H54" s="1" t="str">
        <f>_xlfn.XLOOKUP(C54,Product!A:A,Product!B:B,"not found",0)</f>
        <v>Surly Straggler - 2016</v>
      </c>
      <c r="I54" s="1">
        <f t="shared" si="1"/>
        <v>1548.93</v>
      </c>
    </row>
    <row r="55" spans="1:9" x14ac:dyDescent="0.2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 s="1">
        <f t="shared" si="0"/>
        <v>5999.78</v>
      </c>
      <c r="H55" s="1" t="str">
        <f>_xlfn.XLOOKUP(C55,Product!A:A,Product!B:B,"not found",0)</f>
        <v>Trek Conduit+ - 2016</v>
      </c>
      <c r="I55" s="1">
        <f t="shared" si="1"/>
        <v>5999.78</v>
      </c>
    </row>
    <row r="56" spans="1:9" x14ac:dyDescent="0.2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 s="1">
        <f t="shared" si="0"/>
        <v>2999.9199999999996</v>
      </c>
      <c r="H56" s="1" t="str">
        <f>_xlfn.XLOOKUP(C56,Product!A:A,Product!B:B,"not found",0)</f>
        <v>Trek Conduit+ - 2016</v>
      </c>
      <c r="I56" s="1">
        <f t="shared" si="1"/>
        <v>2999.9199999999996</v>
      </c>
    </row>
    <row r="57" spans="1:9" x14ac:dyDescent="0.2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 s="1">
        <f t="shared" si="0"/>
        <v>3097.93</v>
      </c>
      <c r="H57" s="1" t="str">
        <f>_xlfn.XLOOKUP(C57,Product!A:A,Product!B:B,"not found",0)</f>
        <v>Surly Straggler - 2016</v>
      </c>
      <c r="I57" s="1">
        <f t="shared" si="1"/>
        <v>3097.93</v>
      </c>
    </row>
    <row r="58" spans="1:9" x14ac:dyDescent="0.2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 s="1">
        <f t="shared" si="0"/>
        <v>269.94</v>
      </c>
      <c r="H58" s="1" t="str">
        <f>_xlfn.XLOOKUP(C58,Product!A:A,Product!B:B,"not found",0)</f>
        <v>Electra Girl's Hawaii 1 (16-inch) - 2015/2016</v>
      </c>
      <c r="I58" s="1">
        <f t="shared" si="1"/>
        <v>269.94</v>
      </c>
    </row>
    <row r="59" spans="1:9" x14ac:dyDescent="0.2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 s="1">
        <f t="shared" si="0"/>
        <v>428.9</v>
      </c>
      <c r="H59" s="1" t="str">
        <f>_xlfn.XLOOKUP(C59,Product!A:A,Product!B:B,"not found",0)</f>
        <v>Pure Cycles Vine 8-Speed - 2016</v>
      </c>
      <c r="I59" s="1">
        <f t="shared" si="1"/>
        <v>428.9</v>
      </c>
    </row>
    <row r="60" spans="1:9" x14ac:dyDescent="0.2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 s="1">
        <f t="shared" si="0"/>
        <v>1548.93</v>
      </c>
      <c r="H60" s="1" t="str">
        <f>_xlfn.XLOOKUP(C60,Product!A:A,Product!B:B,"not found",0)</f>
        <v>Surly Straggler - 2016</v>
      </c>
      <c r="I60" s="1">
        <f t="shared" si="1"/>
        <v>1548.93</v>
      </c>
    </row>
    <row r="61" spans="1:9" x14ac:dyDescent="0.2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 s="1">
        <f t="shared" si="0"/>
        <v>1059.78</v>
      </c>
      <c r="H61" s="1" t="str">
        <f>_xlfn.XLOOKUP(C61,Product!A:A,Product!B:B,"not found",0)</f>
        <v>Electra Moto 1 - 2016</v>
      </c>
      <c r="I61" s="1">
        <f t="shared" si="1"/>
        <v>1059.78</v>
      </c>
    </row>
    <row r="62" spans="1:9" x14ac:dyDescent="0.2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 s="1">
        <f t="shared" si="0"/>
        <v>269.94</v>
      </c>
      <c r="H62" s="1" t="str">
        <f>_xlfn.XLOOKUP(C62,Product!A:A,Product!B:B,"not found",0)</f>
        <v>Electra Girl's Hawaii 1 (16-inch) - 2015/2016</v>
      </c>
      <c r="I62" s="1">
        <f t="shared" si="1"/>
        <v>269.94</v>
      </c>
    </row>
    <row r="63" spans="1:9" x14ac:dyDescent="0.2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 s="1">
        <f t="shared" si="0"/>
        <v>5799.9299999999994</v>
      </c>
      <c r="H63" s="1" t="str">
        <f>_xlfn.XLOOKUP(C63,Product!A:A,Product!B:B,"not found",0)</f>
        <v>Trek Fuel EX 8 29 - 2016</v>
      </c>
      <c r="I63" s="1">
        <f t="shared" si="1"/>
        <v>5799.9299999999994</v>
      </c>
    </row>
    <row r="64" spans="1:9" x14ac:dyDescent="0.2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 s="1">
        <f t="shared" si="0"/>
        <v>599.88</v>
      </c>
      <c r="H64" s="1" t="str">
        <f>_xlfn.XLOOKUP(C64,Product!A:A,Product!B:B,"not found",0)</f>
        <v>Electra Girl's Hawaii 1 (20-inch) - 2015/2016</v>
      </c>
      <c r="I64" s="1">
        <f t="shared" si="1"/>
        <v>599.88</v>
      </c>
    </row>
    <row r="65" spans="1:9" x14ac:dyDescent="0.2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 s="1">
        <f t="shared" si="0"/>
        <v>269.79000000000002</v>
      </c>
      <c r="H65" s="1" t="str">
        <f>_xlfn.XLOOKUP(C65,Product!A:A,Product!B:B,"not found",0)</f>
        <v>Electra Cruiser 1 (24-Inch) - 2016</v>
      </c>
      <c r="I65" s="1">
        <f t="shared" si="1"/>
        <v>269.79000000000002</v>
      </c>
    </row>
    <row r="66" spans="1:9" x14ac:dyDescent="0.2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 s="1">
        <f t="shared" si="0"/>
        <v>1999.88</v>
      </c>
      <c r="H66" s="1" t="str">
        <f>_xlfn.XLOOKUP(C66,Product!A:A,Product!B:B,"not found",0)</f>
        <v>Surly Wednesday Frameset - 2016</v>
      </c>
      <c r="I66" s="1">
        <f t="shared" si="1"/>
        <v>1999.88</v>
      </c>
    </row>
    <row r="67" spans="1:9" x14ac:dyDescent="0.2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 s="1">
        <f t="shared" ref="G67:G130" si="2">(E67*D67)-F67</f>
        <v>897.93</v>
      </c>
      <c r="H67" s="1" t="str">
        <f>_xlfn.XLOOKUP(C67,Product!A:A,Product!B:B,"not found",0)</f>
        <v>Pure Cycles Western 3-Speed - Women's - 2015/2016</v>
      </c>
      <c r="I67" s="1">
        <f t="shared" ref="I67:I130" si="3">(D67*E67)-F67</f>
        <v>897.93</v>
      </c>
    </row>
    <row r="68" spans="1:9" x14ac:dyDescent="0.2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 s="1">
        <f t="shared" si="2"/>
        <v>599.78</v>
      </c>
      <c r="H68" s="1" t="str">
        <f>_xlfn.XLOOKUP(C68,Product!A:A,Product!B:B,"not found",0)</f>
        <v>Electra Girl's Hawaii 1 (20-inch) - 2015/2016</v>
      </c>
      <c r="I68" s="1">
        <f t="shared" si="3"/>
        <v>599.78</v>
      </c>
    </row>
    <row r="69" spans="1:9" x14ac:dyDescent="0.2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 s="1">
        <f t="shared" si="2"/>
        <v>3097.8</v>
      </c>
      <c r="H69" s="1" t="str">
        <f>_xlfn.XLOOKUP(C69,Product!A:A,Product!B:B,"not found",0)</f>
        <v>Surly Straggler - 2016</v>
      </c>
      <c r="I69" s="1">
        <f t="shared" si="3"/>
        <v>3097.8</v>
      </c>
    </row>
    <row r="70" spans="1:9" x14ac:dyDescent="0.2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 s="1">
        <f t="shared" si="2"/>
        <v>269.79000000000002</v>
      </c>
      <c r="H70" s="1" t="str">
        <f>_xlfn.XLOOKUP(C70,Product!A:A,Product!B:B,"not found",0)</f>
        <v>Electra Girl's Hawaii 1 (16-inch) - 2015/2016</v>
      </c>
      <c r="I70" s="1">
        <f t="shared" si="3"/>
        <v>269.79000000000002</v>
      </c>
    </row>
    <row r="71" spans="1:9" x14ac:dyDescent="0.2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 s="1">
        <f t="shared" si="2"/>
        <v>269.79000000000002</v>
      </c>
      <c r="H71" s="1" t="str">
        <f>_xlfn.XLOOKUP(C71,Product!A:A,Product!B:B,"not found",0)</f>
        <v>Electra Girl's Hawaii 1 (16-inch) - 2015/2016</v>
      </c>
      <c r="I71" s="1">
        <f t="shared" si="3"/>
        <v>269.79000000000002</v>
      </c>
    </row>
    <row r="72" spans="1:9" x14ac:dyDescent="0.2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 s="1">
        <f t="shared" si="2"/>
        <v>269.89</v>
      </c>
      <c r="H72" s="1" t="str">
        <f>_xlfn.XLOOKUP(C72,Product!A:A,Product!B:B,"not found",0)</f>
        <v>Electra Cruiser 1 (24-Inch) - 2016</v>
      </c>
      <c r="I72" s="1">
        <f t="shared" si="3"/>
        <v>269.89</v>
      </c>
    </row>
    <row r="73" spans="1:9" x14ac:dyDescent="0.2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 s="1">
        <f t="shared" si="2"/>
        <v>3999.9399999999996</v>
      </c>
      <c r="H73" s="1" t="str">
        <f>_xlfn.XLOOKUP(C73,Product!A:A,Product!B:B,"not found",0)</f>
        <v>Trek Slash 8 27.5 - 2016</v>
      </c>
      <c r="I73" s="1">
        <f t="shared" si="3"/>
        <v>3999.9399999999996</v>
      </c>
    </row>
    <row r="74" spans="1:9" x14ac:dyDescent="0.2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 s="1">
        <f t="shared" si="2"/>
        <v>749.79</v>
      </c>
      <c r="H74" s="1" t="str">
        <f>_xlfn.XLOOKUP(C74,Product!A:A,Product!B:B,"not found",0)</f>
        <v>Ritchey Timberwolf Frameset - 2016</v>
      </c>
      <c r="I74" s="1">
        <f t="shared" si="3"/>
        <v>749.79</v>
      </c>
    </row>
    <row r="75" spans="1:9" x14ac:dyDescent="0.2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 s="1">
        <f t="shared" si="2"/>
        <v>549.79</v>
      </c>
      <c r="H75" s="1" t="str">
        <f>_xlfn.XLOOKUP(C75,Product!A:A,Product!B:B,"not found",0)</f>
        <v>Electra Townie Original 21D - 2016</v>
      </c>
      <c r="I75" s="1">
        <f t="shared" si="3"/>
        <v>549.79</v>
      </c>
    </row>
    <row r="76" spans="1:9" x14ac:dyDescent="0.2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 s="1">
        <f t="shared" si="2"/>
        <v>539.91</v>
      </c>
      <c r="H76" s="1" t="str">
        <f>_xlfn.XLOOKUP(C76,Product!A:A,Product!B:B,"not found",0)</f>
        <v>Electra Cruiser 1 (24-Inch) - 2016</v>
      </c>
      <c r="I76" s="1">
        <f t="shared" si="3"/>
        <v>539.91</v>
      </c>
    </row>
    <row r="77" spans="1:9" x14ac:dyDescent="0.2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 s="1">
        <f t="shared" si="2"/>
        <v>1320.79</v>
      </c>
      <c r="H77" s="1" t="str">
        <f>_xlfn.XLOOKUP(C77,Product!A:A,Product!B:B,"not found",0)</f>
        <v>Heller Shagamaw Frame - 2016</v>
      </c>
      <c r="I77" s="1">
        <f t="shared" si="3"/>
        <v>1320.79</v>
      </c>
    </row>
    <row r="78" spans="1:9" x14ac:dyDescent="0.2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 s="1">
        <f t="shared" si="2"/>
        <v>448.8</v>
      </c>
      <c r="H78" s="1" t="str">
        <f>_xlfn.XLOOKUP(C78,Product!A:A,Product!B:B,"not found",0)</f>
        <v>Pure Cycles William 3-Speed - 2016</v>
      </c>
      <c r="I78" s="1">
        <f t="shared" si="3"/>
        <v>448.8</v>
      </c>
    </row>
    <row r="79" spans="1:9" x14ac:dyDescent="0.2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 s="1">
        <f t="shared" si="2"/>
        <v>1199.9100000000001</v>
      </c>
      <c r="H79" s="1" t="str">
        <f>_xlfn.XLOOKUP(C79,Product!A:A,Product!B:B,"not found",0)</f>
        <v>Electra Townie Original 7D EQ - 2016</v>
      </c>
      <c r="I79" s="1">
        <f t="shared" si="3"/>
        <v>1199.9100000000001</v>
      </c>
    </row>
    <row r="80" spans="1:9" x14ac:dyDescent="0.2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 s="1">
        <f t="shared" si="2"/>
        <v>1799.92</v>
      </c>
      <c r="H80" s="1" t="str">
        <f>_xlfn.XLOOKUP(C80,Product!A:A,Product!B:B,"not found",0)</f>
        <v>Trek Remedy 29 Carbon Frameset - 2016</v>
      </c>
      <c r="I80" s="1">
        <f t="shared" si="3"/>
        <v>1799.92</v>
      </c>
    </row>
    <row r="81" spans="1:9" x14ac:dyDescent="0.2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 s="1">
        <f t="shared" si="2"/>
        <v>1320.94</v>
      </c>
      <c r="H81" s="1" t="str">
        <f>_xlfn.XLOOKUP(C81,Product!A:A,Product!B:B,"not found",0)</f>
        <v>Heller Shagamaw Frame - 2016</v>
      </c>
      <c r="I81" s="1">
        <f t="shared" si="3"/>
        <v>1320.94</v>
      </c>
    </row>
    <row r="82" spans="1:9" x14ac:dyDescent="0.2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 s="1">
        <f t="shared" si="2"/>
        <v>7999.78</v>
      </c>
      <c r="H82" s="1" t="str">
        <f>_xlfn.XLOOKUP(C82,Product!A:A,Product!B:B,"not found",0)</f>
        <v>Trek Slash 8 27.5 - 2016</v>
      </c>
      <c r="I82" s="1">
        <f t="shared" si="3"/>
        <v>7999.78</v>
      </c>
    </row>
    <row r="83" spans="1:9" x14ac:dyDescent="0.2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 s="1">
        <f t="shared" si="2"/>
        <v>539.88</v>
      </c>
      <c r="H83" s="1" t="str">
        <f>_xlfn.XLOOKUP(C83,Product!A:A,Product!B:B,"not found",0)</f>
        <v>Electra Girl's Hawaii 1 (16-inch) - 2015/2016</v>
      </c>
      <c r="I83" s="1">
        <f t="shared" si="3"/>
        <v>539.88</v>
      </c>
    </row>
    <row r="84" spans="1:9" x14ac:dyDescent="0.2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 s="1">
        <f t="shared" si="2"/>
        <v>469.94</v>
      </c>
      <c r="H84" s="1" t="str">
        <f>_xlfn.XLOOKUP(C84,Product!A:A,Product!B:B,"not found",0)</f>
        <v>Surly Ice Cream Truck Frameset - 2016</v>
      </c>
      <c r="I84" s="1">
        <f t="shared" si="3"/>
        <v>469.94</v>
      </c>
    </row>
    <row r="85" spans="1:9" x14ac:dyDescent="0.2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 s="1">
        <f t="shared" si="2"/>
        <v>1099.93</v>
      </c>
      <c r="H85" s="1" t="str">
        <f>_xlfn.XLOOKUP(C85,Product!A:A,Product!B:B,"not found",0)</f>
        <v>Electra Townie Original 21D - 2016</v>
      </c>
      <c r="I85" s="1">
        <f t="shared" si="3"/>
        <v>1099.93</v>
      </c>
    </row>
    <row r="86" spans="1:9" x14ac:dyDescent="0.2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 s="1">
        <f t="shared" si="2"/>
        <v>469.79</v>
      </c>
      <c r="H86" s="1" t="str">
        <f>_xlfn.XLOOKUP(C86,Product!A:A,Product!B:B,"not found",0)</f>
        <v>Surly Ice Cream Truck Frameset - 2016</v>
      </c>
      <c r="I86" s="1">
        <f t="shared" si="3"/>
        <v>469.79</v>
      </c>
    </row>
    <row r="87" spans="1:9" x14ac:dyDescent="0.2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 s="1">
        <f t="shared" si="2"/>
        <v>539.88</v>
      </c>
      <c r="H87" s="1" t="str">
        <f>_xlfn.XLOOKUP(C87,Product!A:A,Product!B:B,"not found",0)</f>
        <v>Electra Cruiser 1 (24-Inch) - 2016</v>
      </c>
      <c r="I87" s="1">
        <f t="shared" si="3"/>
        <v>539.88</v>
      </c>
    </row>
    <row r="88" spans="1:9" x14ac:dyDescent="0.2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 s="1">
        <f t="shared" si="2"/>
        <v>1799.79</v>
      </c>
      <c r="H88" s="1" t="str">
        <f>_xlfn.XLOOKUP(C88,Product!A:A,Product!B:B,"not found",0)</f>
        <v>Trek Remedy 29 Carbon Frameset - 2016</v>
      </c>
      <c r="I88" s="1">
        <f t="shared" si="3"/>
        <v>1799.79</v>
      </c>
    </row>
    <row r="89" spans="1:9" x14ac:dyDescent="0.2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 s="1">
        <f t="shared" si="2"/>
        <v>539.93000000000006</v>
      </c>
      <c r="H89" s="1" t="str">
        <f>_xlfn.XLOOKUP(C89,Product!A:A,Product!B:B,"not found",0)</f>
        <v>Electra Girl's Hawaii 1 (16-inch) - 2015/2016</v>
      </c>
      <c r="I89" s="1">
        <f t="shared" si="3"/>
        <v>539.93000000000006</v>
      </c>
    </row>
    <row r="90" spans="1:9" x14ac:dyDescent="0.2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 s="1">
        <f t="shared" si="2"/>
        <v>599.94000000000005</v>
      </c>
      <c r="H90" s="1" t="str">
        <f>_xlfn.XLOOKUP(C90,Product!A:A,Product!B:B,"not found",0)</f>
        <v>Electra Townie Original 7D EQ - 2016</v>
      </c>
      <c r="I90" s="1">
        <f t="shared" si="3"/>
        <v>599.94000000000005</v>
      </c>
    </row>
    <row r="91" spans="1:9" x14ac:dyDescent="0.2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 s="1">
        <f t="shared" si="2"/>
        <v>428.93</v>
      </c>
      <c r="H91" s="1" t="str">
        <f>_xlfn.XLOOKUP(C91,Product!A:A,Product!B:B,"not found",0)</f>
        <v>Pure Cycles Vine 8-Speed - 2016</v>
      </c>
      <c r="I91" s="1">
        <f t="shared" si="3"/>
        <v>428.93</v>
      </c>
    </row>
    <row r="92" spans="1:9" x14ac:dyDescent="0.2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 s="1">
        <f t="shared" si="2"/>
        <v>448.9</v>
      </c>
      <c r="H92" s="1" t="str">
        <f>_xlfn.XLOOKUP(C92,Product!A:A,Product!B:B,"not found",0)</f>
        <v>Pure Cycles William 3-Speed - 2016</v>
      </c>
      <c r="I92" s="1">
        <f t="shared" si="3"/>
        <v>448.9</v>
      </c>
    </row>
    <row r="93" spans="1:9" x14ac:dyDescent="0.2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 s="1">
        <f t="shared" si="2"/>
        <v>2899.89</v>
      </c>
      <c r="H93" s="1" t="str">
        <f>_xlfn.XLOOKUP(C93,Product!A:A,Product!B:B,"not found",0)</f>
        <v>Trek Fuel EX 8 29 - 2016</v>
      </c>
      <c r="I93" s="1">
        <f t="shared" si="3"/>
        <v>2899.89</v>
      </c>
    </row>
    <row r="94" spans="1:9" x14ac:dyDescent="0.2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 s="1">
        <f t="shared" si="2"/>
        <v>7999.8799999999992</v>
      </c>
      <c r="H94" s="1" t="str">
        <f>_xlfn.XLOOKUP(C94,Product!A:A,Product!B:B,"not found",0)</f>
        <v>Trek Slash 8 27.5 - 2016</v>
      </c>
      <c r="I94" s="1">
        <f t="shared" si="3"/>
        <v>7999.8799999999992</v>
      </c>
    </row>
    <row r="95" spans="1:9" x14ac:dyDescent="0.2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 s="1">
        <f t="shared" si="2"/>
        <v>3361.93</v>
      </c>
      <c r="H95" s="1" t="str">
        <f>_xlfn.XLOOKUP(C95,Product!A:A,Product!B:B,"not found",0)</f>
        <v>Surly Straggler 650b - 2016</v>
      </c>
      <c r="I95" s="1">
        <f t="shared" si="3"/>
        <v>3361.93</v>
      </c>
    </row>
    <row r="96" spans="1:9" x14ac:dyDescent="0.2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 s="1">
        <f t="shared" si="2"/>
        <v>5999.78</v>
      </c>
      <c r="H96" s="1" t="str">
        <f>_xlfn.XLOOKUP(C96,Product!A:A,Product!B:B,"not found",0)</f>
        <v>Trek Conduit+ - 2016</v>
      </c>
      <c r="I96" s="1">
        <f t="shared" si="3"/>
        <v>5999.78</v>
      </c>
    </row>
    <row r="97" spans="1:9" x14ac:dyDescent="0.2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 s="1">
        <f t="shared" si="2"/>
        <v>3599.91</v>
      </c>
      <c r="H97" s="1" t="str">
        <f>_xlfn.XLOOKUP(C97,Product!A:A,Product!B:B,"not found",0)</f>
        <v>Trek Remedy 29 Carbon Frameset - 2016</v>
      </c>
      <c r="I97" s="1">
        <f t="shared" si="3"/>
        <v>3599.91</v>
      </c>
    </row>
    <row r="98" spans="1:9" x14ac:dyDescent="0.2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 s="1">
        <f t="shared" si="2"/>
        <v>1099.9100000000001</v>
      </c>
      <c r="H98" s="1" t="str">
        <f>_xlfn.XLOOKUP(C98,Product!A:A,Product!B:B,"not found",0)</f>
        <v>Electra Townie Original 21D - 2016</v>
      </c>
      <c r="I98" s="1">
        <f t="shared" si="3"/>
        <v>1099.9100000000001</v>
      </c>
    </row>
    <row r="99" spans="1:9" x14ac:dyDescent="0.2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 s="1">
        <f t="shared" si="2"/>
        <v>999.88</v>
      </c>
      <c r="H99" s="1" t="str">
        <f>_xlfn.XLOOKUP(C99,Product!A:A,Product!B:B,"not found",0)</f>
        <v>Electra Townie Original 7D - 2015/2016</v>
      </c>
      <c r="I99" s="1">
        <f t="shared" si="3"/>
        <v>999.88</v>
      </c>
    </row>
    <row r="100" spans="1:9" x14ac:dyDescent="0.2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 s="1">
        <f t="shared" si="2"/>
        <v>599.91</v>
      </c>
      <c r="H100" s="1" t="str">
        <f>_xlfn.XLOOKUP(C100,Product!A:A,Product!B:B,"not found",0)</f>
        <v>Electra Girl's Hawaii 1 (20-inch) - 2015/2016</v>
      </c>
      <c r="I100" s="1">
        <f t="shared" si="3"/>
        <v>599.91</v>
      </c>
    </row>
    <row r="101" spans="1:9" x14ac:dyDescent="0.2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 s="1">
        <f t="shared" si="2"/>
        <v>3999.89</v>
      </c>
      <c r="H101" s="1" t="str">
        <f>_xlfn.XLOOKUP(C101,Product!A:A,Product!B:B,"not found",0)</f>
        <v>Trek Slash 8 27.5 - 2016</v>
      </c>
      <c r="I101" s="1">
        <f t="shared" si="3"/>
        <v>3999.89</v>
      </c>
    </row>
    <row r="102" spans="1:9" x14ac:dyDescent="0.2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 s="1">
        <f t="shared" si="2"/>
        <v>3599.91</v>
      </c>
      <c r="H102" s="1" t="str">
        <f>_xlfn.XLOOKUP(C102,Product!A:A,Product!B:B,"not found",0)</f>
        <v>Trek Remedy 29 Carbon Frameset - 2016</v>
      </c>
      <c r="I102" s="1">
        <f t="shared" si="3"/>
        <v>3599.91</v>
      </c>
    </row>
    <row r="103" spans="1:9" x14ac:dyDescent="0.2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 s="1">
        <f t="shared" si="2"/>
        <v>3097.9</v>
      </c>
      <c r="H103" s="1" t="str">
        <f>_xlfn.XLOOKUP(C103,Product!A:A,Product!B:B,"not found",0)</f>
        <v>Surly Straggler - 2016</v>
      </c>
      <c r="I103" s="1">
        <f t="shared" si="3"/>
        <v>3097.9</v>
      </c>
    </row>
    <row r="104" spans="1:9" x14ac:dyDescent="0.2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 s="1">
        <f t="shared" si="2"/>
        <v>857.8</v>
      </c>
      <c r="H104" s="1" t="str">
        <f>_xlfn.XLOOKUP(C104,Product!A:A,Product!B:B,"not found",0)</f>
        <v>Pure Cycles Vine 8-Speed - 2016</v>
      </c>
      <c r="I104" s="1">
        <f t="shared" si="3"/>
        <v>857.8</v>
      </c>
    </row>
    <row r="105" spans="1:9" x14ac:dyDescent="0.2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 s="1">
        <f t="shared" si="2"/>
        <v>448.95</v>
      </c>
      <c r="H105" s="1" t="str">
        <f>_xlfn.XLOOKUP(C105,Product!A:A,Product!B:B,"not found",0)</f>
        <v>Pure Cycles Western 3-Speed - Women's - 2015/2016</v>
      </c>
      <c r="I105" s="1">
        <f t="shared" si="3"/>
        <v>448.95</v>
      </c>
    </row>
    <row r="106" spans="1:9" x14ac:dyDescent="0.2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 s="1">
        <f t="shared" si="2"/>
        <v>1199.93</v>
      </c>
      <c r="H106" s="1" t="str">
        <f>_xlfn.XLOOKUP(C106,Product!A:A,Product!B:B,"not found",0)</f>
        <v>Electra Townie Original 7D EQ - Women's - 2016</v>
      </c>
      <c r="I106" s="1">
        <f t="shared" si="3"/>
        <v>1199.93</v>
      </c>
    </row>
    <row r="107" spans="1:9" x14ac:dyDescent="0.2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 s="1">
        <f t="shared" si="2"/>
        <v>1320.79</v>
      </c>
      <c r="H107" s="1" t="str">
        <f>_xlfn.XLOOKUP(C107,Product!A:A,Product!B:B,"not found",0)</f>
        <v>Heller Shagamaw Frame - 2016</v>
      </c>
      <c r="I107" s="1">
        <f t="shared" si="3"/>
        <v>1320.79</v>
      </c>
    </row>
    <row r="108" spans="1:9" x14ac:dyDescent="0.2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 s="1">
        <f t="shared" si="2"/>
        <v>539.91</v>
      </c>
      <c r="H108" s="1" t="str">
        <f>_xlfn.XLOOKUP(C108,Product!A:A,Product!B:B,"not found",0)</f>
        <v>Electra Cruiser 1 (24-Inch) - 2016</v>
      </c>
      <c r="I108" s="1">
        <f t="shared" si="3"/>
        <v>539.91</v>
      </c>
    </row>
    <row r="109" spans="1:9" x14ac:dyDescent="0.2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 s="1">
        <f t="shared" si="2"/>
        <v>269.92</v>
      </c>
      <c r="H109" s="1" t="str">
        <f>_xlfn.XLOOKUP(C109,Product!A:A,Product!B:B,"not found",0)</f>
        <v>Electra Girl's Hawaii 1 (16-inch) - 2015/2016</v>
      </c>
      <c r="I109" s="1">
        <f t="shared" si="3"/>
        <v>269.92</v>
      </c>
    </row>
    <row r="110" spans="1:9" x14ac:dyDescent="0.2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 s="1">
        <f t="shared" si="2"/>
        <v>2999.9199999999996</v>
      </c>
      <c r="H110" s="1" t="str">
        <f>_xlfn.XLOOKUP(C110,Product!A:A,Product!B:B,"not found",0)</f>
        <v>Trek Conduit+ - 2016</v>
      </c>
      <c r="I110" s="1">
        <f t="shared" si="3"/>
        <v>2999.9199999999996</v>
      </c>
    </row>
    <row r="111" spans="1:9" x14ac:dyDescent="0.2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 s="1">
        <f t="shared" si="2"/>
        <v>1320.94</v>
      </c>
      <c r="H111" s="1" t="str">
        <f>_xlfn.XLOOKUP(C111,Product!A:A,Product!B:B,"not found",0)</f>
        <v>Heller Shagamaw Frame - 2016</v>
      </c>
      <c r="I111" s="1">
        <f t="shared" si="3"/>
        <v>1320.94</v>
      </c>
    </row>
    <row r="112" spans="1:9" x14ac:dyDescent="0.2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 s="1">
        <f t="shared" si="2"/>
        <v>1999.78</v>
      </c>
      <c r="H112" s="1" t="str">
        <f>_xlfn.XLOOKUP(C112,Product!A:A,Product!B:B,"not found",0)</f>
        <v>Surly Wednesday Frameset - 2016</v>
      </c>
      <c r="I112" s="1">
        <f t="shared" si="3"/>
        <v>1999.78</v>
      </c>
    </row>
    <row r="113" spans="1:9" x14ac:dyDescent="0.2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 s="1">
        <f t="shared" si="2"/>
        <v>1199.93</v>
      </c>
      <c r="H113" s="1" t="str">
        <f>_xlfn.XLOOKUP(C113,Product!A:A,Product!B:B,"not found",0)</f>
        <v>Electra Townie Original 7D EQ - 2016</v>
      </c>
      <c r="I113" s="1">
        <f t="shared" si="3"/>
        <v>1199.93</v>
      </c>
    </row>
    <row r="114" spans="1:9" x14ac:dyDescent="0.2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 s="1">
        <f t="shared" si="2"/>
        <v>7999.9299999999994</v>
      </c>
      <c r="H114" s="1" t="str">
        <f>_xlfn.XLOOKUP(C114,Product!A:A,Product!B:B,"not found",0)</f>
        <v>Trek Slash 8 27.5 - 2016</v>
      </c>
      <c r="I114" s="1">
        <f t="shared" si="3"/>
        <v>7999.9299999999994</v>
      </c>
    </row>
    <row r="115" spans="1:9" x14ac:dyDescent="0.2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 s="1">
        <f t="shared" si="2"/>
        <v>299.92</v>
      </c>
      <c r="H115" s="1" t="str">
        <f>_xlfn.XLOOKUP(C115,Product!A:A,Product!B:B,"not found",0)</f>
        <v>Electra Girl's Hawaii 1 (20-inch) - 2015/2016</v>
      </c>
      <c r="I115" s="1">
        <f t="shared" si="3"/>
        <v>299.92</v>
      </c>
    </row>
    <row r="116" spans="1:9" x14ac:dyDescent="0.2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 s="1">
        <f t="shared" si="2"/>
        <v>499.79</v>
      </c>
      <c r="H116" s="1" t="str">
        <f>_xlfn.XLOOKUP(C116,Product!A:A,Product!B:B,"not found",0)</f>
        <v>Electra Townie Original 7D - 2015/2016</v>
      </c>
      <c r="I116" s="1">
        <f t="shared" si="3"/>
        <v>499.79</v>
      </c>
    </row>
    <row r="117" spans="1:9" x14ac:dyDescent="0.2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 s="1">
        <f t="shared" si="2"/>
        <v>3097.9</v>
      </c>
      <c r="H117" s="1" t="str">
        <f>_xlfn.XLOOKUP(C117,Product!A:A,Product!B:B,"not found",0)</f>
        <v>Surly Straggler - 2016</v>
      </c>
      <c r="I117" s="1">
        <f t="shared" si="3"/>
        <v>3097.9</v>
      </c>
    </row>
    <row r="118" spans="1:9" x14ac:dyDescent="0.2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 s="1">
        <f t="shared" si="2"/>
        <v>549.91999999999996</v>
      </c>
      <c r="H118" s="1" t="str">
        <f>_xlfn.XLOOKUP(C118,Product!A:A,Product!B:B,"not found",0)</f>
        <v>Electra Townie Original 21D - 2016</v>
      </c>
      <c r="I118" s="1">
        <f t="shared" si="3"/>
        <v>549.91999999999996</v>
      </c>
    </row>
    <row r="119" spans="1:9" x14ac:dyDescent="0.2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 s="1">
        <f t="shared" si="2"/>
        <v>539.78</v>
      </c>
      <c r="H119" s="1" t="str">
        <f>_xlfn.XLOOKUP(C119,Product!A:A,Product!B:B,"not found",0)</f>
        <v>Electra Girl's Hawaii 1 (16-inch) - 2015/2016</v>
      </c>
      <c r="I119" s="1">
        <f t="shared" si="3"/>
        <v>539.78</v>
      </c>
    </row>
    <row r="120" spans="1:9" x14ac:dyDescent="0.2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 s="1">
        <f t="shared" si="2"/>
        <v>1199.78</v>
      </c>
      <c r="H120" s="1" t="str">
        <f>_xlfn.XLOOKUP(C120,Product!A:A,Product!B:B,"not found",0)</f>
        <v>Electra Townie Original 7D EQ - 2016</v>
      </c>
      <c r="I120" s="1">
        <f t="shared" si="3"/>
        <v>1199.78</v>
      </c>
    </row>
    <row r="121" spans="1:9" x14ac:dyDescent="0.2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 s="1">
        <f t="shared" si="2"/>
        <v>1999.93</v>
      </c>
      <c r="H121" s="1" t="str">
        <f>_xlfn.XLOOKUP(C121,Product!A:A,Product!B:B,"not found",0)</f>
        <v>Surly Wednesday Frameset - 2016</v>
      </c>
      <c r="I121" s="1">
        <f t="shared" si="3"/>
        <v>1999.93</v>
      </c>
    </row>
    <row r="122" spans="1:9" x14ac:dyDescent="0.2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 s="1">
        <f t="shared" si="2"/>
        <v>529.89</v>
      </c>
      <c r="H122" s="1" t="str">
        <f>_xlfn.XLOOKUP(C122,Product!A:A,Product!B:B,"not found",0)</f>
        <v>Electra Moto 1 - 2016</v>
      </c>
      <c r="I122" s="1">
        <f t="shared" si="3"/>
        <v>529.89</v>
      </c>
    </row>
    <row r="123" spans="1:9" x14ac:dyDescent="0.2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 s="1">
        <f t="shared" si="2"/>
        <v>428.8</v>
      </c>
      <c r="H123" s="1" t="str">
        <f>_xlfn.XLOOKUP(C123,Product!A:A,Product!B:B,"not found",0)</f>
        <v>Pure Cycles Vine 8-Speed - 2016</v>
      </c>
      <c r="I123" s="1">
        <f t="shared" si="3"/>
        <v>428.8</v>
      </c>
    </row>
    <row r="124" spans="1:9" x14ac:dyDescent="0.2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 s="1">
        <f t="shared" si="2"/>
        <v>3599.78</v>
      </c>
      <c r="H124" s="1" t="str">
        <f>_xlfn.XLOOKUP(C124,Product!A:A,Product!B:B,"not found",0)</f>
        <v>Trek Remedy 29 Carbon Frameset - 2016</v>
      </c>
      <c r="I124" s="1">
        <f t="shared" si="3"/>
        <v>3599.78</v>
      </c>
    </row>
    <row r="125" spans="1:9" x14ac:dyDescent="0.2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 s="1">
        <f t="shared" si="2"/>
        <v>1320.89</v>
      </c>
      <c r="H125" s="1" t="str">
        <f>_xlfn.XLOOKUP(C125,Product!A:A,Product!B:B,"not found",0)</f>
        <v>Heller Shagamaw Frame - 2016</v>
      </c>
      <c r="I125" s="1">
        <f t="shared" si="3"/>
        <v>1320.89</v>
      </c>
    </row>
    <row r="126" spans="1:9" x14ac:dyDescent="0.2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 s="1">
        <f t="shared" si="2"/>
        <v>897.8</v>
      </c>
      <c r="H126" s="1" t="str">
        <f>_xlfn.XLOOKUP(C126,Product!A:A,Product!B:B,"not found",0)</f>
        <v>Pure Cycles William 3-Speed - 2016</v>
      </c>
      <c r="I126" s="1">
        <f t="shared" si="3"/>
        <v>897.8</v>
      </c>
    </row>
    <row r="127" spans="1:9" x14ac:dyDescent="0.2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 s="1">
        <f t="shared" si="2"/>
        <v>1199.78</v>
      </c>
      <c r="H127" s="1" t="str">
        <f>_xlfn.XLOOKUP(C127,Product!A:A,Product!B:B,"not found",0)</f>
        <v>Electra Townie Original 7D EQ - 2016</v>
      </c>
      <c r="I127" s="1">
        <f t="shared" si="3"/>
        <v>1199.78</v>
      </c>
    </row>
    <row r="128" spans="1:9" x14ac:dyDescent="0.2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 s="1">
        <f t="shared" si="2"/>
        <v>448.95</v>
      </c>
      <c r="H128" s="1" t="str">
        <f>_xlfn.XLOOKUP(C128,Product!A:A,Product!B:B,"not found",0)</f>
        <v>Pure Cycles William 3-Speed - 2016</v>
      </c>
      <c r="I128" s="1">
        <f t="shared" si="3"/>
        <v>448.95</v>
      </c>
    </row>
    <row r="129" spans="1:9" x14ac:dyDescent="0.2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 s="1">
        <f t="shared" si="2"/>
        <v>539.88</v>
      </c>
      <c r="H129" s="1" t="str">
        <f>_xlfn.XLOOKUP(C129,Product!A:A,Product!B:B,"not found",0)</f>
        <v>Electra Cruiser 1 (24-Inch) - 2016</v>
      </c>
      <c r="I129" s="1">
        <f t="shared" si="3"/>
        <v>539.88</v>
      </c>
    </row>
    <row r="130" spans="1:9" x14ac:dyDescent="0.2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 s="1">
        <f t="shared" si="2"/>
        <v>1099.93</v>
      </c>
      <c r="H130" s="1" t="str">
        <f>_xlfn.XLOOKUP(C130,Product!A:A,Product!B:B,"not found",0)</f>
        <v>Electra Townie Original 21D - 2016</v>
      </c>
      <c r="I130" s="1">
        <f t="shared" si="3"/>
        <v>1099.93</v>
      </c>
    </row>
    <row r="131" spans="1:9" x14ac:dyDescent="0.2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 s="1">
        <f t="shared" ref="G131:G194" si="4">(E131*D131)-F131</f>
        <v>3999.89</v>
      </c>
      <c r="H131" s="1" t="str">
        <f>_xlfn.XLOOKUP(C131,Product!A:A,Product!B:B,"not found",0)</f>
        <v>Trek Slash 8 27.5 - 2016</v>
      </c>
      <c r="I131" s="1">
        <f t="shared" ref="I131:I194" si="5">(D131*E131)-F131</f>
        <v>3999.89</v>
      </c>
    </row>
    <row r="132" spans="1:9" x14ac:dyDescent="0.2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 s="1">
        <f t="shared" si="4"/>
        <v>599.94000000000005</v>
      </c>
      <c r="H132" s="1" t="str">
        <f>_xlfn.XLOOKUP(C132,Product!A:A,Product!B:B,"not found",0)</f>
        <v>Electra Townie Original 7D EQ - 2016</v>
      </c>
      <c r="I132" s="1">
        <f t="shared" si="5"/>
        <v>599.94000000000005</v>
      </c>
    </row>
    <row r="133" spans="1:9" x14ac:dyDescent="0.2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 s="1">
        <f t="shared" si="4"/>
        <v>5799.78</v>
      </c>
      <c r="H133" s="1" t="str">
        <f>_xlfn.XLOOKUP(C133,Product!A:A,Product!B:B,"not found",0)</f>
        <v>Trek Fuel EX 8 29 - 2016</v>
      </c>
      <c r="I133" s="1">
        <f t="shared" si="5"/>
        <v>5799.78</v>
      </c>
    </row>
    <row r="134" spans="1:9" x14ac:dyDescent="0.2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 s="1">
        <f t="shared" si="4"/>
        <v>269.92</v>
      </c>
      <c r="H134" s="1" t="str">
        <f>_xlfn.XLOOKUP(C134,Product!A:A,Product!B:B,"not found",0)</f>
        <v>Electra Girl's Hawaii 1 (16-inch) - 2015/2016</v>
      </c>
      <c r="I134" s="1">
        <f t="shared" si="5"/>
        <v>269.92</v>
      </c>
    </row>
    <row r="135" spans="1:9" x14ac:dyDescent="0.2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 s="1">
        <f t="shared" si="4"/>
        <v>539.93000000000006</v>
      </c>
      <c r="H135" s="1" t="str">
        <f>_xlfn.XLOOKUP(C135,Product!A:A,Product!B:B,"not found",0)</f>
        <v>Electra Cruiser 1 (24-Inch) - 2016</v>
      </c>
      <c r="I135" s="1">
        <f t="shared" si="5"/>
        <v>539.93000000000006</v>
      </c>
    </row>
    <row r="136" spans="1:9" x14ac:dyDescent="0.2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 s="1">
        <f t="shared" si="4"/>
        <v>428.9</v>
      </c>
      <c r="H136" s="1" t="str">
        <f>_xlfn.XLOOKUP(C136,Product!A:A,Product!B:B,"not found",0)</f>
        <v>Pure Cycles Vine 8-Speed - 2016</v>
      </c>
      <c r="I136" s="1">
        <f t="shared" si="5"/>
        <v>428.9</v>
      </c>
    </row>
    <row r="137" spans="1:9" x14ac:dyDescent="0.2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 s="1">
        <f t="shared" si="4"/>
        <v>469.94</v>
      </c>
      <c r="H137" s="1" t="str">
        <f>_xlfn.XLOOKUP(C137,Product!A:A,Product!B:B,"not found",0)</f>
        <v>Surly Ice Cream Truck Frameset - 2016</v>
      </c>
      <c r="I137" s="1">
        <f t="shared" si="5"/>
        <v>469.94</v>
      </c>
    </row>
    <row r="138" spans="1:9" x14ac:dyDescent="0.2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 s="1">
        <f t="shared" si="4"/>
        <v>529.89</v>
      </c>
      <c r="H138" s="1" t="str">
        <f>_xlfn.XLOOKUP(C138,Product!A:A,Product!B:B,"not found",0)</f>
        <v>Electra Moto 1 - 2016</v>
      </c>
      <c r="I138" s="1">
        <f t="shared" si="5"/>
        <v>529.89</v>
      </c>
    </row>
    <row r="139" spans="1:9" x14ac:dyDescent="0.2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 s="1">
        <f t="shared" si="4"/>
        <v>999.91</v>
      </c>
      <c r="H139" s="1" t="str">
        <f>_xlfn.XLOOKUP(C139,Product!A:A,Product!B:B,"not found",0)</f>
        <v>Electra Townie Original 7D - 2015/2016</v>
      </c>
      <c r="I139" s="1">
        <f t="shared" si="5"/>
        <v>999.91</v>
      </c>
    </row>
    <row r="140" spans="1:9" x14ac:dyDescent="0.2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 s="1">
        <f t="shared" si="4"/>
        <v>269.79000000000002</v>
      </c>
      <c r="H140" s="1" t="str">
        <f>_xlfn.XLOOKUP(C140,Product!A:A,Product!B:B,"not found",0)</f>
        <v>Electra Cruiser 1 (24-Inch) - 2016</v>
      </c>
      <c r="I140" s="1">
        <f t="shared" si="5"/>
        <v>269.79000000000002</v>
      </c>
    </row>
    <row r="141" spans="1:9" x14ac:dyDescent="0.2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 s="1">
        <f t="shared" si="4"/>
        <v>1680.89</v>
      </c>
      <c r="H141" s="1" t="str">
        <f>_xlfn.XLOOKUP(C141,Product!A:A,Product!B:B,"not found",0)</f>
        <v>Surly Straggler 650b - 2016</v>
      </c>
      <c r="I141" s="1">
        <f t="shared" si="5"/>
        <v>1680.89</v>
      </c>
    </row>
    <row r="142" spans="1:9" x14ac:dyDescent="0.2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 s="1">
        <f t="shared" si="4"/>
        <v>2899.79</v>
      </c>
      <c r="H142" s="1" t="str">
        <f>_xlfn.XLOOKUP(C142,Product!A:A,Product!B:B,"not found",0)</f>
        <v>Trek Fuel EX 8 29 - 2016</v>
      </c>
      <c r="I142" s="1">
        <f t="shared" si="5"/>
        <v>2899.79</v>
      </c>
    </row>
    <row r="143" spans="1:9" x14ac:dyDescent="0.2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 s="1">
        <f t="shared" si="4"/>
        <v>2641.88</v>
      </c>
      <c r="H143" s="1" t="str">
        <f>_xlfn.XLOOKUP(C143,Product!A:A,Product!B:B,"not found",0)</f>
        <v>Heller Shagamaw Frame - 2016</v>
      </c>
      <c r="I143" s="1">
        <f t="shared" si="5"/>
        <v>2641.88</v>
      </c>
    </row>
    <row r="144" spans="1:9" x14ac:dyDescent="0.2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 s="1">
        <f t="shared" si="4"/>
        <v>539.91</v>
      </c>
      <c r="H144" s="1" t="str">
        <f>_xlfn.XLOOKUP(C144,Product!A:A,Product!B:B,"not found",0)</f>
        <v>Electra Girl's Hawaii 1 (16-inch) - 2015/2016</v>
      </c>
      <c r="I144" s="1">
        <f t="shared" si="5"/>
        <v>539.91</v>
      </c>
    </row>
    <row r="145" spans="1:9" x14ac:dyDescent="0.2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 s="1">
        <f t="shared" si="4"/>
        <v>539.91</v>
      </c>
      <c r="H145" s="1" t="str">
        <f>_xlfn.XLOOKUP(C145,Product!A:A,Product!B:B,"not found",0)</f>
        <v>Electra Cruiser 1 (24-Inch) - 2016</v>
      </c>
      <c r="I145" s="1">
        <f t="shared" si="5"/>
        <v>539.91</v>
      </c>
    </row>
    <row r="146" spans="1:9" x14ac:dyDescent="0.2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 s="1">
        <f t="shared" si="4"/>
        <v>999.94</v>
      </c>
      <c r="H146" s="1" t="str">
        <f>_xlfn.XLOOKUP(C146,Product!A:A,Product!B:B,"not found",0)</f>
        <v>Surly Wednesday Frameset - 2016</v>
      </c>
      <c r="I146" s="1">
        <f t="shared" si="5"/>
        <v>999.94</v>
      </c>
    </row>
    <row r="147" spans="1:9" x14ac:dyDescent="0.2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 s="1">
        <f t="shared" si="4"/>
        <v>1199.9100000000001</v>
      </c>
      <c r="H147" s="1" t="str">
        <f>_xlfn.XLOOKUP(C147,Product!A:A,Product!B:B,"not found",0)</f>
        <v>Electra Townie Original 7D EQ - 2016</v>
      </c>
      <c r="I147" s="1">
        <f t="shared" si="5"/>
        <v>1199.9100000000001</v>
      </c>
    </row>
    <row r="148" spans="1:9" x14ac:dyDescent="0.2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 s="1">
        <f t="shared" si="4"/>
        <v>539.78</v>
      </c>
      <c r="H148" s="1" t="str">
        <f>_xlfn.XLOOKUP(C148,Product!A:A,Product!B:B,"not found",0)</f>
        <v>Electra Cruiser 1 (24-Inch) - 2016</v>
      </c>
      <c r="I148" s="1">
        <f t="shared" si="5"/>
        <v>539.78</v>
      </c>
    </row>
    <row r="149" spans="1:9" x14ac:dyDescent="0.2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 s="1">
        <f t="shared" si="4"/>
        <v>269.94</v>
      </c>
      <c r="H149" s="1" t="str">
        <f>_xlfn.XLOOKUP(C149,Product!A:A,Product!B:B,"not found",0)</f>
        <v>Electra Cruiser 1 (24-Inch) - 2016</v>
      </c>
      <c r="I149" s="1">
        <f t="shared" si="5"/>
        <v>269.94</v>
      </c>
    </row>
    <row r="150" spans="1:9" x14ac:dyDescent="0.2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 s="1">
        <f t="shared" si="4"/>
        <v>599.94000000000005</v>
      </c>
      <c r="H150" s="1" t="str">
        <f>_xlfn.XLOOKUP(C150,Product!A:A,Product!B:B,"not found",0)</f>
        <v>Electra Townie Original 7D EQ - Women's - 2016</v>
      </c>
      <c r="I150" s="1">
        <f t="shared" si="5"/>
        <v>599.94000000000005</v>
      </c>
    </row>
    <row r="151" spans="1:9" x14ac:dyDescent="0.2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 s="1">
        <f t="shared" si="4"/>
        <v>1199.78</v>
      </c>
      <c r="H151" s="1" t="str">
        <f>_xlfn.XLOOKUP(C151,Product!A:A,Product!B:B,"not found",0)</f>
        <v>Electra Townie Original 7D EQ - 2016</v>
      </c>
      <c r="I151" s="1">
        <f t="shared" si="5"/>
        <v>1199.78</v>
      </c>
    </row>
    <row r="152" spans="1:9" x14ac:dyDescent="0.2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 s="1">
        <f t="shared" si="4"/>
        <v>499.92</v>
      </c>
      <c r="H152" s="1" t="str">
        <f>_xlfn.XLOOKUP(C152,Product!A:A,Product!B:B,"not found",0)</f>
        <v>Electra Townie Original 7D - 2015/2016</v>
      </c>
      <c r="I152" s="1">
        <f t="shared" si="5"/>
        <v>499.92</v>
      </c>
    </row>
    <row r="153" spans="1:9" x14ac:dyDescent="0.2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 s="1">
        <f t="shared" si="4"/>
        <v>3599.78</v>
      </c>
      <c r="H153" s="1" t="str">
        <f>_xlfn.XLOOKUP(C153,Product!A:A,Product!B:B,"not found",0)</f>
        <v>Trek Remedy 29 Carbon Frameset - 2016</v>
      </c>
      <c r="I153" s="1">
        <f t="shared" si="5"/>
        <v>3599.78</v>
      </c>
    </row>
    <row r="154" spans="1:9" x14ac:dyDescent="0.2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 s="1">
        <f t="shared" si="4"/>
        <v>599.93000000000006</v>
      </c>
      <c r="H154" s="1" t="str">
        <f>_xlfn.XLOOKUP(C154,Product!A:A,Product!B:B,"not found",0)</f>
        <v>Electra Girl's Hawaii 1 (20-inch) - 2015/2016</v>
      </c>
      <c r="I154" s="1">
        <f t="shared" si="5"/>
        <v>599.93000000000006</v>
      </c>
    </row>
    <row r="155" spans="1:9" x14ac:dyDescent="0.2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 s="1">
        <f t="shared" si="4"/>
        <v>539.78</v>
      </c>
      <c r="H155" s="1" t="str">
        <f>_xlfn.XLOOKUP(C155,Product!A:A,Product!B:B,"not found",0)</f>
        <v>Electra Girl's Hawaii 1 (16-inch) - 2015/2016</v>
      </c>
      <c r="I155" s="1">
        <f t="shared" si="5"/>
        <v>539.78</v>
      </c>
    </row>
    <row r="156" spans="1:9" x14ac:dyDescent="0.2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 s="1">
        <f t="shared" si="4"/>
        <v>999.88</v>
      </c>
      <c r="H156" s="1" t="str">
        <f>_xlfn.XLOOKUP(C156,Product!A:A,Product!B:B,"not found",0)</f>
        <v>Electra Townie Original 7D - 2015/2016</v>
      </c>
      <c r="I156" s="1">
        <f t="shared" si="5"/>
        <v>999.88</v>
      </c>
    </row>
    <row r="157" spans="1:9" x14ac:dyDescent="0.2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 s="1">
        <f t="shared" si="4"/>
        <v>1199.78</v>
      </c>
      <c r="H157" s="1" t="str">
        <f>_xlfn.XLOOKUP(C157,Product!A:A,Product!B:B,"not found",0)</f>
        <v>Electra Townie Original 7D EQ - 2016</v>
      </c>
      <c r="I157" s="1">
        <f t="shared" si="5"/>
        <v>1199.78</v>
      </c>
    </row>
    <row r="158" spans="1:9" x14ac:dyDescent="0.2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 s="1">
        <f t="shared" si="4"/>
        <v>999.79</v>
      </c>
      <c r="H158" s="1" t="str">
        <f>_xlfn.XLOOKUP(C158,Product!A:A,Product!B:B,"not found",0)</f>
        <v>Surly Wednesday Frameset - 2016</v>
      </c>
      <c r="I158" s="1">
        <f t="shared" si="5"/>
        <v>999.79</v>
      </c>
    </row>
    <row r="159" spans="1:9" x14ac:dyDescent="0.2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 s="1">
        <f t="shared" si="4"/>
        <v>269.94</v>
      </c>
      <c r="H159" s="1" t="str">
        <f>_xlfn.XLOOKUP(C159,Product!A:A,Product!B:B,"not found",0)</f>
        <v>Electra Cruiser 1 (24-Inch) - 2016</v>
      </c>
      <c r="I159" s="1">
        <f t="shared" si="5"/>
        <v>269.94</v>
      </c>
    </row>
    <row r="160" spans="1:9" x14ac:dyDescent="0.2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 s="1">
        <f t="shared" si="4"/>
        <v>999.78</v>
      </c>
      <c r="H160" s="1" t="str">
        <f>_xlfn.XLOOKUP(C160,Product!A:A,Product!B:B,"not found",0)</f>
        <v>Electra Townie Original 7D - 2015/2016</v>
      </c>
      <c r="I160" s="1">
        <f t="shared" si="5"/>
        <v>999.78</v>
      </c>
    </row>
    <row r="161" spans="1:9" x14ac:dyDescent="0.2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 s="1">
        <f t="shared" si="4"/>
        <v>1059.78</v>
      </c>
      <c r="H161" s="1" t="str">
        <f>_xlfn.XLOOKUP(C161,Product!A:A,Product!B:B,"not found",0)</f>
        <v>Electra Moto 1 - 2016</v>
      </c>
      <c r="I161" s="1">
        <f t="shared" si="5"/>
        <v>1059.78</v>
      </c>
    </row>
    <row r="162" spans="1:9" x14ac:dyDescent="0.2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 s="1">
        <f t="shared" si="4"/>
        <v>1199.9100000000001</v>
      </c>
      <c r="H162" s="1" t="str">
        <f>_xlfn.XLOOKUP(C162,Product!A:A,Product!B:B,"not found",0)</f>
        <v>Electra Townie Original 7D EQ - Women's - 2016</v>
      </c>
      <c r="I162" s="1">
        <f t="shared" si="5"/>
        <v>1199.9100000000001</v>
      </c>
    </row>
    <row r="163" spans="1:9" x14ac:dyDescent="0.2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 s="1">
        <f t="shared" si="4"/>
        <v>599.88</v>
      </c>
      <c r="H163" s="1" t="str">
        <f>_xlfn.XLOOKUP(C163,Product!A:A,Product!B:B,"not found",0)</f>
        <v>Electra Girl's Hawaii 1 (20-inch) - 2015/2016</v>
      </c>
      <c r="I163" s="1">
        <f t="shared" si="5"/>
        <v>599.88</v>
      </c>
    </row>
    <row r="164" spans="1:9" x14ac:dyDescent="0.2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 s="1">
        <f t="shared" si="4"/>
        <v>897.8</v>
      </c>
      <c r="H164" s="1" t="str">
        <f>_xlfn.XLOOKUP(C164,Product!A:A,Product!B:B,"not found",0)</f>
        <v>Pure Cycles William 3-Speed - 2016</v>
      </c>
      <c r="I164" s="1">
        <f t="shared" si="5"/>
        <v>897.8</v>
      </c>
    </row>
    <row r="165" spans="1:9" x14ac:dyDescent="0.2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 s="1">
        <f t="shared" si="4"/>
        <v>269.92</v>
      </c>
      <c r="H165" s="1" t="str">
        <f>_xlfn.XLOOKUP(C165,Product!A:A,Product!B:B,"not found",0)</f>
        <v>Electra Cruiser 1 (24-Inch) - 2016</v>
      </c>
      <c r="I165" s="1">
        <f t="shared" si="5"/>
        <v>269.92</v>
      </c>
    </row>
    <row r="166" spans="1:9" x14ac:dyDescent="0.2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 s="1">
        <f t="shared" si="4"/>
        <v>539.93000000000006</v>
      </c>
      <c r="H166" s="1" t="str">
        <f>_xlfn.XLOOKUP(C166,Product!A:A,Product!B:B,"not found",0)</f>
        <v>Electra Girl's Hawaii 1 (16-inch) - 2015/2016</v>
      </c>
      <c r="I166" s="1">
        <f t="shared" si="5"/>
        <v>539.93000000000006</v>
      </c>
    </row>
    <row r="167" spans="1:9" x14ac:dyDescent="0.2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 s="1">
        <f t="shared" si="4"/>
        <v>448.93</v>
      </c>
      <c r="H167" s="1" t="str">
        <f>_xlfn.XLOOKUP(C167,Product!A:A,Product!B:B,"not found",0)</f>
        <v>Pure Cycles Western 3-Speed - Women's - 2015/2016</v>
      </c>
      <c r="I167" s="1">
        <f t="shared" si="5"/>
        <v>448.93</v>
      </c>
    </row>
    <row r="168" spans="1:9" x14ac:dyDescent="0.2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 s="1">
        <f t="shared" si="4"/>
        <v>299.89</v>
      </c>
      <c r="H168" s="1" t="str">
        <f>_xlfn.XLOOKUP(C168,Product!A:A,Product!B:B,"not found",0)</f>
        <v>Electra Girl's Hawaii 1 (20-inch) - 2015/2016</v>
      </c>
      <c r="I168" s="1">
        <f t="shared" si="5"/>
        <v>299.89</v>
      </c>
    </row>
    <row r="169" spans="1:9" x14ac:dyDescent="0.2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 s="1">
        <f t="shared" si="4"/>
        <v>269.94</v>
      </c>
      <c r="H169" s="1" t="str">
        <f>_xlfn.XLOOKUP(C169,Product!A:A,Product!B:B,"not found",0)</f>
        <v>Electra Cruiser 1 (24-Inch) - 2016</v>
      </c>
      <c r="I169" s="1">
        <f t="shared" si="5"/>
        <v>269.94</v>
      </c>
    </row>
    <row r="170" spans="1:9" x14ac:dyDescent="0.2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 s="1">
        <f t="shared" si="4"/>
        <v>749.89</v>
      </c>
      <c r="H170" s="1" t="str">
        <f>_xlfn.XLOOKUP(C170,Product!A:A,Product!B:B,"not found",0)</f>
        <v>Ritchey Timberwolf Frameset - 2016</v>
      </c>
      <c r="I170" s="1">
        <f t="shared" si="5"/>
        <v>749.89</v>
      </c>
    </row>
    <row r="171" spans="1:9" x14ac:dyDescent="0.2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 s="1">
        <f t="shared" si="4"/>
        <v>857.9</v>
      </c>
      <c r="H171" s="1" t="str">
        <f>_xlfn.XLOOKUP(C171,Product!A:A,Product!B:B,"not found",0)</f>
        <v>Pure Cycles Vine 8-Speed - 2016</v>
      </c>
      <c r="I171" s="1">
        <f t="shared" si="5"/>
        <v>857.9</v>
      </c>
    </row>
    <row r="172" spans="1:9" x14ac:dyDescent="0.2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 s="1">
        <f t="shared" si="4"/>
        <v>539.93000000000006</v>
      </c>
      <c r="H172" s="1" t="str">
        <f>_xlfn.XLOOKUP(C172,Product!A:A,Product!B:B,"not found",0)</f>
        <v>Electra Girl's Hawaii 1 (16-inch) - 2015/2016</v>
      </c>
      <c r="I172" s="1">
        <f t="shared" si="5"/>
        <v>539.93000000000006</v>
      </c>
    </row>
    <row r="173" spans="1:9" x14ac:dyDescent="0.2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 s="1">
        <f t="shared" si="4"/>
        <v>2899.89</v>
      </c>
      <c r="H173" s="1" t="str">
        <f>_xlfn.XLOOKUP(C173,Product!A:A,Product!B:B,"not found",0)</f>
        <v>Trek Fuel EX 8 29 - 2016</v>
      </c>
      <c r="I173" s="1">
        <f t="shared" si="5"/>
        <v>2899.89</v>
      </c>
    </row>
    <row r="174" spans="1:9" x14ac:dyDescent="0.2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 s="1">
        <f t="shared" si="4"/>
        <v>529.91999999999996</v>
      </c>
      <c r="H174" s="1" t="str">
        <f>_xlfn.XLOOKUP(C174,Product!A:A,Product!B:B,"not found",0)</f>
        <v>Electra Moto 1 - 2016</v>
      </c>
      <c r="I174" s="1">
        <f t="shared" si="5"/>
        <v>529.91999999999996</v>
      </c>
    </row>
    <row r="175" spans="1:9" x14ac:dyDescent="0.2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 s="1">
        <f t="shared" si="4"/>
        <v>269.79000000000002</v>
      </c>
      <c r="H175" s="1" t="str">
        <f>_xlfn.XLOOKUP(C175,Product!A:A,Product!B:B,"not found",0)</f>
        <v>Electra Girl's Hawaii 1 (16-inch) - 2015/2016</v>
      </c>
      <c r="I175" s="1">
        <f t="shared" si="5"/>
        <v>269.79000000000002</v>
      </c>
    </row>
    <row r="176" spans="1:9" x14ac:dyDescent="0.2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 s="1">
        <f t="shared" si="4"/>
        <v>499.89</v>
      </c>
      <c r="H176" s="1" t="str">
        <f>_xlfn.XLOOKUP(C176,Product!A:A,Product!B:B,"not found",0)</f>
        <v>Electra Townie Original 7D - 2015/2016</v>
      </c>
      <c r="I176" s="1">
        <f t="shared" si="5"/>
        <v>499.89</v>
      </c>
    </row>
    <row r="177" spans="1:9" x14ac:dyDescent="0.2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 s="1">
        <f t="shared" si="4"/>
        <v>1059.93</v>
      </c>
      <c r="H177" s="1" t="str">
        <f>_xlfn.XLOOKUP(C177,Product!A:A,Product!B:B,"not found",0)</f>
        <v>Electra Moto 1 - 2016</v>
      </c>
      <c r="I177" s="1">
        <f t="shared" si="5"/>
        <v>1059.93</v>
      </c>
    </row>
    <row r="178" spans="1:9" x14ac:dyDescent="0.2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 s="1">
        <f t="shared" si="4"/>
        <v>2641.78</v>
      </c>
      <c r="H178" s="1" t="str">
        <f>_xlfn.XLOOKUP(C178,Product!A:A,Product!B:B,"not found",0)</f>
        <v>Heller Shagamaw Frame - 2016</v>
      </c>
      <c r="I178" s="1">
        <f t="shared" si="5"/>
        <v>2641.78</v>
      </c>
    </row>
    <row r="179" spans="1:9" x14ac:dyDescent="0.2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 s="1">
        <f t="shared" si="4"/>
        <v>269.92</v>
      </c>
      <c r="H179" s="1" t="str">
        <f>_xlfn.XLOOKUP(C179,Product!A:A,Product!B:B,"not found",0)</f>
        <v>Electra Girl's Hawaii 1 (16-inch) - 2015/2016</v>
      </c>
      <c r="I179" s="1">
        <f t="shared" si="5"/>
        <v>269.92</v>
      </c>
    </row>
    <row r="180" spans="1:9" x14ac:dyDescent="0.2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 s="1">
        <f t="shared" si="4"/>
        <v>3599.88</v>
      </c>
      <c r="H180" s="1" t="str">
        <f>_xlfn.XLOOKUP(C180,Product!A:A,Product!B:B,"not found",0)</f>
        <v>Trek Remedy 29 Carbon Frameset - 2016</v>
      </c>
      <c r="I180" s="1">
        <f t="shared" si="5"/>
        <v>3599.88</v>
      </c>
    </row>
    <row r="181" spans="1:9" x14ac:dyDescent="0.2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 s="1">
        <f t="shared" si="4"/>
        <v>539.88</v>
      </c>
      <c r="H181" s="1" t="str">
        <f>_xlfn.XLOOKUP(C181,Product!A:A,Product!B:B,"not found",0)</f>
        <v>Electra Girl's Hawaii 1 (16-inch) - 2015/2016</v>
      </c>
      <c r="I181" s="1">
        <f t="shared" si="5"/>
        <v>539.88</v>
      </c>
    </row>
    <row r="182" spans="1:9" x14ac:dyDescent="0.2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 s="1">
        <f t="shared" si="4"/>
        <v>999.88</v>
      </c>
      <c r="H182" s="1" t="str">
        <f>_xlfn.XLOOKUP(C182,Product!A:A,Product!B:B,"not found",0)</f>
        <v>Electra Townie Original 7D - 2015/2016</v>
      </c>
      <c r="I182" s="1">
        <f t="shared" si="5"/>
        <v>999.88</v>
      </c>
    </row>
    <row r="183" spans="1:9" x14ac:dyDescent="0.2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 s="1">
        <f t="shared" si="4"/>
        <v>897.95</v>
      </c>
      <c r="H183" s="1" t="str">
        <f>_xlfn.XLOOKUP(C183,Product!A:A,Product!B:B,"not found",0)</f>
        <v>Pure Cycles William 3-Speed - 2016</v>
      </c>
      <c r="I183" s="1">
        <f t="shared" si="5"/>
        <v>897.95</v>
      </c>
    </row>
    <row r="184" spans="1:9" x14ac:dyDescent="0.2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 s="1">
        <f t="shared" si="4"/>
        <v>999.89</v>
      </c>
      <c r="H184" s="1" t="str">
        <f>_xlfn.XLOOKUP(C184,Product!A:A,Product!B:B,"not found",0)</f>
        <v>Surly Wednesday Frameset - 2016</v>
      </c>
      <c r="I184" s="1">
        <f t="shared" si="5"/>
        <v>999.89</v>
      </c>
    </row>
    <row r="185" spans="1:9" x14ac:dyDescent="0.2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 s="1">
        <f t="shared" si="4"/>
        <v>999.88</v>
      </c>
      <c r="H185" s="1" t="str">
        <f>_xlfn.XLOOKUP(C185,Product!A:A,Product!B:B,"not found",0)</f>
        <v>Electra Townie Original 7D - 2015/2016</v>
      </c>
      <c r="I185" s="1">
        <f t="shared" si="5"/>
        <v>999.88</v>
      </c>
    </row>
    <row r="186" spans="1:9" x14ac:dyDescent="0.2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 s="1">
        <f t="shared" si="4"/>
        <v>539.78</v>
      </c>
      <c r="H186" s="1" t="str">
        <f>_xlfn.XLOOKUP(C186,Product!A:A,Product!B:B,"not found",0)</f>
        <v>Electra Girl's Hawaii 1 (16-inch) - 2015/2016</v>
      </c>
      <c r="I186" s="1">
        <f t="shared" si="5"/>
        <v>539.78</v>
      </c>
    </row>
    <row r="187" spans="1:9" x14ac:dyDescent="0.2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 s="1">
        <f t="shared" si="4"/>
        <v>599.78</v>
      </c>
      <c r="H187" s="1" t="str">
        <f>_xlfn.XLOOKUP(C187,Product!A:A,Product!B:B,"not found",0)</f>
        <v>Electra Girl's Hawaii 1 (20-inch) - 2015/2016</v>
      </c>
      <c r="I187" s="1">
        <f t="shared" si="5"/>
        <v>599.78</v>
      </c>
    </row>
    <row r="188" spans="1:9" x14ac:dyDescent="0.2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 s="1">
        <f t="shared" si="4"/>
        <v>1099.8800000000001</v>
      </c>
      <c r="H188" s="1" t="str">
        <f>_xlfn.XLOOKUP(C188,Product!A:A,Product!B:B,"not found",0)</f>
        <v>Electra Townie Original 21D - 2016</v>
      </c>
      <c r="I188" s="1">
        <f t="shared" si="5"/>
        <v>1099.8800000000001</v>
      </c>
    </row>
    <row r="189" spans="1:9" x14ac:dyDescent="0.2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 s="1">
        <f t="shared" si="4"/>
        <v>549.89</v>
      </c>
      <c r="H189" s="1" t="str">
        <f>_xlfn.XLOOKUP(C189,Product!A:A,Product!B:B,"not found",0)</f>
        <v>Electra Townie Original 21D - 2016</v>
      </c>
      <c r="I189" s="1">
        <f t="shared" si="5"/>
        <v>549.89</v>
      </c>
    </row>
    <row r="190" spans="1:9" x14ac:dyDescent="0.2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 s="1">
        <f t="shared" si="4"/>
        <v>749.79</v>
      </c>
      <c r="H190" s="1" t="str">
        <f>_xlfn.XLOOKUP(C190,Product!A:A,Product!B:B,"not found",0)</f>
        <v>Ritchey Timberwolf Frameset - 2016</v>
      </c>
      <c r="I190" s="1">
        <f t="shared" si="5"/>
        <v>749.79</v>
      </c>
    </row>
    <row r="191" spans="1:9" x14ac:dyDescent="0.2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 s="1">
        <f t="shared" si="4"/>
        <v>299.92</v>
      </c>
      <c r="H191" s="1" t="str">
        <f>_xlfn.XLOOKUP(C191,Product!A:A,Product!B:B,"not found",0)</f>
        <v>Electra Girl's Hawaii 1 (20-inch) - 2015/2016</v>
      </c>
      <c r="I191" s="1">
        <f t="shared" si="5"/>
        <v>299.92</v>
      </c>
    </row>
    <row r="192" spans="1:9" x14ac:dyDescent="0.2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 s="1">
        <f t="shared" si="4"/>
        <v>549.91999999999996</v>
      </c>
      <c r="H192" s="1" t="str">
        <f>_xlfn.XLOOKUP(C192,Product!A:A,Product!B:B,"not found",0)</f>
        <v>Electra Townie Original 21D - 2016</v>
      </c>
      <c r="I192" s="1">
        <f t="shared" si="5"/>
        <v>549.91999999999996</v>
      </c>
    </row>
    <row r="193" spans="1:9" x14ac:dyDescent="0.2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 s="1">
        <f t="shared" si="4"/>
        <v>599.78</v>
      </c>
      <c r="H193" s="1" t="str">
        <f>_xlfn.XLOOKUP(C193,Product!A:A,Product!B:B,"not found",0)</f>
        <v>Electra Girl's Hawaii 1 (20-inch) - 2015/2016</v>
      </c>
      <c r="I193" s="1">
        <f t="shared" si="5"/>
        <v>599.78</v>
      </c>
    </row>
    <row r="194" spans="1:9" x14ac:dyDescent="0.2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 s="1">
        <f t="shared" si="4"/>
        <v>1099.8800000000001</v>
      </c>
      <c r="H194" s="1" t="str">
        <f>_xlfn.XLOOKUP(C194,Product!A:A,Product!B:B,"not found",0)</f>
        <v>Electra Townie Original 21D - 2016</v>
      </c>
      <c r="I194" s="1">
        <f t="shared" si="5"/>
        <v>1099.8800000000001</v>
      </c>
    </row>
    <row r="195" spans="1:9" x14ac:dyDescent="0.2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 s="1">
        <f t="shared" ref="G195:G258" si="6">(E195*D195)-F195</f>
        <v>269.79000000000002</v>
      </c>
      <c r="H195" s="1" t="str">
        <f>_xlfn.XLOOKUP(C195,Product!A:A,Product!B:B,"not found",0)</f>
        <v>Electra Cruiser 1 (24-Inch) - 2016</v>
      </c>
      <c r="I195" s="1">
        <f t="shared" ref="I195:I258" si="7">(D195*E195)-F195</f>
        <v>269.79000000000002</v>
      </c>
    </row>
    <row r="196" spans="1:9" x14ac:dyDescent="0.2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 s="1">
        <f t="shared" si="6"/>
        <v>2641.88</v>
      </c>
      <c r="H196" s="1" t="str">
        <f>_xlfn.XLOOKUP(C196,Product!A:A,Product!B:B,"not found",0)</f>
        <v>Heller Shagamaw Frame - 2016</v>
      </c>
      <c r="I196" s="1">
        <f t="shared" si="7"/>
        <v>2641.88</v>
      </c>
    </row>
    <row r="197" spans="1:9" x14ac:dyDescent="0.2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 s="1">
        <f t="shared" si="6"/>
        <v>448.8</v>
      </c>
      <c r="H197" s="1" t="str">
        <f>_xlfn.XLOOKUP(C197,Product!A:A,Product!B:B,"not found",0)</f>
        <v>Pure Cycles William 3-Speed - 2016</v>
      </c>
      <c r="I197" s="1">
        <f t="shared" si="7"/>
        <v>448.8</v>
      </c>
    </row>
    <row r="198" spans="1:9" x14ac:dyDescent="0.2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 s="1">
        <f t="shared" si="6"/>
        <v>539.91</v>
      </c>
      <c r="H198" s="1" t="str">
        <f>_xlfn.XLOOKUP(C198,Product!A:A,Product!B:B,"not found",0)</f>
        <v>Electra Cruiser 1 (24-Inch) - 2016</v>
      </c>
      <c r="I198" s="1">
        <f t="shared" si="7"/>
        <v>539.91</v>
      </c>
    </row>
    <row r="199" spans="1:9" x14ac:dyDescent="0.2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 s="1">
        <f t="shared" si="6"/>
        <v>428.9</v>
      </c>
      <c r="H199" s="1" t="str">
        <f>_xlfn.XLOOKUP(C199,Product!A:A,Product!B:B,"not found",0)</f>
        <v>Pure Cycles Vine 8-Speed - 2016</v>
      </c>
      <c r="I199" s="1">
        <f t="shared" si="7"/>
        <v>428.9</v>
      </c>
    </row>
    <row r="200" spans="1:9" x14ac:dyDescent="0.2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 s="1">
        <f t="shared" si="6"/>
        <v>539.88</v>
      </c>
      <c r="H200" s="1" t="str">
        <f>_xlfn.XLOOKUP(C200,Product!A:A,Product!B:B,"not found",0)</f>
        <v>Electra Girl's Hawaii 1 (16-inch) - 2015/2016</v>
      </c>
      <c r="I200" s="1">
        <f t="shared" si="7"/>
        <v>539.88</v>
      </c>
    </row>
    <row r="201" spans="1:9" x14ac:dyDescent="0.2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 s="1">
        <f t="shared" si="6"/>
        <v>1320.79</v>
      </c>
      <c r="H201" s="1" t="str">
        <f>_xlfn.XLOOKUP(C201,Product!A:A,Product!B:B,"not found",0)</f>
        <v>Heller Shagamaw Frame - 2016</v>
      </c>
      <c r="I201" s="1">
        <f t="shared" si="7"/>
        <v>1320.79</v>
      </c>
    </row>
    <row r="202" spans="1:9" x14ac:dyDescent="0.2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 s="1">
        <f t="shared" si="6"/>
        <v>1548.95</v>
      </c>
      <c r="H202" s="1" t="str">
        <f>_xlfn.XLOOKUP(C202,Product!A:A,Product!B:B,"not found",0)</f>
        <v>Surly Straggler - 2016</v>
      </c>
      <c r="I202" s="1">
        <f t="shared" si="7"/>
        <v>1548.95</v>
      </c>
    </row>
    <row r="203" spans="1:9" x14ac:dyDescent="0.2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 s="1">
        <f t="shared" si="6"/>
        <v>1999.93</v>
      </c>
      <c r="H203" s="1" t="str">
        <f>_xlfn.XLOOKUP(C203,Product!A:A,Product!B:B,"not found",0)</f>
        <v>Surly Wednesday Frameset - 2016</v>
      </c>
      <c r="I203" s="1">
        <f t="shared" si="7"/>
        <v>1999.93</v>
      </c>
    </row>
    <row r="204" spans="1:9" x14ac:dyDescent="0.2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 s="1">
        <f t="shared" si="6"/>
        <v>448.8</v>
      </c>
      <c r="H204" s="1" t="str">
        <f>_xlfn.XLOOKUP(C204,Product!A:A,Product!B:B,"not found",0)</f>
        <v>Pure Cycles Western 3-Speed - Women's - 2015/2016</v>
      </c>
      <c r="I204" s="1">
        <f t="shared" si="7"/>
        <v>448.8</v>
      </c>
    </row>
    <row r="205" spans="1:9" x14ac:dyDescent="0.2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 s="1">
        <f t="shared" si="6"/>
        <v>599.94000000000005</v>
      </c>
      <c r="H205" s="1" t="str">
        <f>_xlfn.XLOOKUP(C205,Product!A:A,Product!B:B,"not found",0)</f>
        <v>Electra Townie Original 7D EQ - Women's - 2016</v>
      </c>
      <c r="I205" s="1">
        <f t="shared" si="7"/>
        <v>599.94000000000005</v>
      </c>
    </row>
    <row r="206" spans="1:9" x14ac:dyDescent="0.2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 s="1">
        <f t="shared" si="6"/>
        <v>1199.93</v>
      </c>
      <c r="H206" s="1" t="str">
        <f>_xlfn.XLOOKUP(C206,Product!A:A,Product!B:B,"not found",0)</f>
        <v>Electra Townie Original 7D EQ - 2016</v>
      </c>
      <c r="I206" s="1">
        <f t="shared" si="7"/>
        <v>1199.93</v>
      </c>
    </row>
    <row r="207" spans="1:9" x14ac:dyDescent="0.2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 s="1">
        <f t="shared" si="6"/>
        <v>549.79</v>
      </c>
      <c r="H207" s="1" t="str">
        <f>_xlfn.XLOOKUP(C207,Product!A:A,Product!B:B,"not found",0)</f>
        <v>Electra Townie Original 21D - 2016</v>
      </c>
      <c r="I207" s="1">
        <f t="shared" si="7"/>
        <v>549.79</v>
      </c>
    </row>
    <row r="208" spans="1:9" x14ac:dyDescent="0.2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 s="1">
        <f t="shared" si="6"/>
        <v>448.9</v>
      </c>
      <c r="H208" s="1" t="str">
        <f>_xlfn.XLOOKUP(C208,Product!A:A,Product!B:B,"not found",0)</f>
        <v>Pure Cycles Western 3-Speed - Women's - 2015/2016</v>
      </c>
      <c r="I208" s="1">
        <f t="shared" si="7"/>
        <v>448.9</v>
      </c>
    </row>
    <row r="209" spans="1:9" x14ac:dyDescent="0.2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 s="1">
        <f t="shared" si="6"/>
        <v>857.93</v>
      </c>
      <c r="H209" s="1" t="str">
        <f>_xlfn.XLOOKUP(C209,Product!A:A,Product!B:B,"not found",0)</f>
        <v>Pure Cycles Vine 8-Speed - 2016</v>
      </c>
      <c r="I209" s="1">
        <f t="shared" si="7"/>
        <v>857.93</v>
      </c>
    </row>
    <row r="210" spans="1:9" x14ac:dyDescent="0.2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 s="1">
        <f t="shared" si="6"/>
        <v>549.94000000000005</v>
      </c>
      <c r="H210" s="1" t="str">
        <f>_xlfn.XLOOKUP(C210,Product!A:A,Product!B:B,"not found",0)</f>
        <v>Electra Townie Original 21D - 2016</v>
      </c>
      <c r="I210" s="1">
        <f t="shared" si="7"/>
        <v>549.94000000000005</v>
      </c>
    </row>
    <row r="211" spans="1:9" x14ac:dyDescent="0.2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 s="1">
        <f t="shared" si="6"/>
        <v>539.88</v>
      </c>
      <c r="H211" s="1" t="str">
        <f>_xlfn.XLOOKUP(C211,Product!A:A,Product!B:B,"not found",0)</f>
        <v>Electra Cruiser 1 (24-Inch) - 2016</v>
      </c>
      <c r="I211" s="1">
        <f t="shared" si="7"/>
        <v>539.88</v>
      </c>
    </row>
    <row r="212" spans="1:9" x14ac:dyDescent="0.2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 s="1">
        <f t="shared" si="6"/>
        <v>269.92</v>
      </c>
      <c r="H212" s="1" t="str">
        <f>_xlfn.XLOOKUP(C212,Product!A:A,Product!B:B,"not found",0)</f>
        <v>Electra Girl's Hawaii 1 (16-inch) - 2015/2016</v>
      </c>
      <c r="I212" s="1">
        <f t="shared" si="7"/>
        <v>269.92</v>
      </c>
    </row>
    <row r="213" spans="1:9" x14ac:dyDescent="0.2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 s="1">
        <f t="shared" si="6"/>
        <v>1199.93</v>
      </c>
      <c r="H213" s="1" t="str">
        <f>_xlfn.XLOOKUP(C213,Product!A:A,Product!B:B,"not found",0)</f>
        <v>Electra Townie Original 7D EQ - 2016</v>
      </c>
      <c r="I213" s="1">
        <f t="shared" si="7"/>
        <v>1199.93</v>
      </c>
    </row>
    <row r="214" spans="1:9" x14ac:dyDescent="0.2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 s="1">
        <f t="shared" si="6"/>
        <v>1999.91</v>
      </c>
      <c r="H214" s="1" t="str">
        <f>_xlfn.XLOOKUP(C214,Product!A:A,Product!B:B,"not found",0)</f>
        <v>Surly Wednesday Frameset - 2016</v>
      </c>
      <c r="I214" s="1">
        <f t="shared" si="7"/>
        <v>1999.91</v>
      </c>
    </row>
    <row r="215" spans="1:9" x14ac:dyDescent="0.2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 s="1">
        <f t="shared" si="6"/>
        <v>499.92</v>
      </c>
      <c r="H215" s="1" t="str">
        <f>_xlfn.XLOOKUP(C215,Product!A:A,Product!B:B,"not found",0)</f>
        <v>Electra Townie Original 7D - 2015/2016</v>
      </c>
      <c r="I215" s="1">
        <f t="shared" si="7"/>
        <v>499.92</v>
      </c>
    </row>
    <row r="216" spans="1:9" x14ac:dyDescent="0.2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 s="1">
        <f t="shared" si="6"/>
        <v>599.78</v>
      </c>
      <c r="H216" s="1" t="str">
        <f>_xlfn.XLOOKUP(C216,Product!A:A,Product!B:B,"not found",0)</f>
        <v>Electra Girl's Hawaii 1 (20-inch) - 2015/2016</v>
      </c>
      <c r="I216" s="1">
        <f t="shared" si="7"/>
        <v>599.78</v>
      </c>
    </row>
    <row r="217" spans="1:9" x14ac:dyDescent="0.2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 s="1">
        <f t="shared" si="6"/>
        <v>1199.93</v>
      </c>
      <c r="H217" s="1" t="str">
        <f>_xlfn.XLOOKUP(C217,Product!A:A,Product!B:B,"not found",0)</f>
        <v>Electra Townie Original 7D EQ - 2016</v>
      </c>
      <c r="I217" s="1">
        <f t="shared" si="7"/>
        <v>1199.93</v>
      </c>
    </row>
    <row r="218" spans="1:9" x14ac:dyDescent="0.2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 s="1">
        <f t="shared" si="6"/>
        <v>469.92</v>
      </c>
      <c r="H218" s="1" t="str">
        <f>_xlfn.XLOOKUP(C218,Product!A:A,Product!B:B,"not found",0)</f>
        <v>Surly Ice Cream Truck Frameset - 2016</v>
      </c>
      <c r="I218" s="1">
        <f t="shared" si="7"/>
        <v>469.92</v>
      </c>
    </row>
    <row r="219" spans="1:9" x14ac:dyDescent="0.2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 s="1">
        <f t="shared" si="6"/>
        <v>999.89</v>
      </c>
      <c r="H219" s="1" t="str">
        <f>_xlfn.XLOOKUP(C219,Product!A:A,Product!B:B,"not found",0)</f>
        <v>Surly Wednesday Frameset - 2016</v>
      </c>
      <c r="I219" s="1">
        <f t="shared" si="7"/>
        <v>999.89</v>
      </c>
    </row>
    <row r="220" spans="1:9" x14ac:dyDescent="0.2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 s="1">
        <f t="shared" si="6"/>
        <v>7999.91</v>
      </c>
      <c r="H220" s="1" t="str">
        <f>_xlfn.XLOOKUP(C220,Product!A:A,Product!B:B,"not found",0)</f>
        <v>Trek Slash 8 27.5 - 2016</v>
      </c>
      <c r="I220" s="1">
        <f t="shared" si="7"/>
        <v>7999.91</v>
      </c>
    </row>
    <row r="221" spans="1:9" x14ac:dyDescent="0.2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 s="1">
        <f t="shared" si="6"/>
        <v>529.79</v>
      </c>
      <c r="H221" s="1" t="str">
        <f>_xlfn.XLOOKUP(C221,Product!A:A,Product!B:B,"not found",0)</f>
        <v>Electra Moto 1 - 2016</v>
      </c>
      <c r="I221" s="1">
        <f t="shared" si="7"/>
        <v>529.79</v>
      </c>
    </row>
    <row r="222" spans="1:9" x14ac:dyDescent="0.2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 s="1">
        <f t="shared" si="6"/>
        <v>549.94000000000005</v>
      </c>
      <c r="H222" s="1" t="str">
        <f>_xlfn.XLOOKUP(C222,Product!A:A,Product!B:B,"not found",0)</f>
        <v>Electra Townie Original 21D - 2016</v>
      </c>
      <c r="I222" s="1">
        <f t="shared" si="7"/>
        <v>549.94000000000005</v>
      </c>
    </row>
    <row r="223" spans="1:9" x14ac:dyDescent="0.2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 s="1">
        <f t="shared" si="6"/>
        <v>3361.88</v>
      </c>
      <c r="H223" s="1" t="str">
        <f>_xlfn.XLOOKUP(C223,Product!A:A,Product!B:B,"not found",0)</f>
        <v>Surly Straggler 650b - 2016</v>
      </c>
      <c r="I223" s="1">
        <f t="shared" si="7"/>
        <v>3361.88</v>
      </c>
    </row>
    <row r="224" spans="1:9" x14ac:dyDescent="0.2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 s="1">
        <f t="shared" si="6"/>
        <v>1320.92</v>
      </c>
      <c r="H224" s="1" t="str">
        <f>_xlfn.XLOOKUP(C224,Product!A:A,Product!B:B,"not found",0)</f>
        <v>Heller Shagamaw Frame - 2016</v>
      </c>
      <c r="I224" s="1">
        <f t="shared" si="7"/>
        <v>1320.92</v>
      </c>
    </row>
    <row r="225" spans="1:9" x14ac:dyDescent="0.2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 s="1">
        <f t="shared" si="6"/>
        <v>599.91999999999996</v>
      </c>
      <c r="H225" s="1" t="str">
        <f>_xlfn.XLOOKUP(C225,Product!A:A,Product!B:B,"not found",0)</f>
        <v>Electra Townie Original 7D EQ - Women's - 2016</v>
      </c>
      <c r="I225" s="1">
        <f t="shared" si="7"/>
        <v>599.91999999999996</v>
      </c>
    </row>
    <row r="226" spans="1:9" x14ac:dyDescent="0.2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 s="1">
        <f t="shared" si="6"/>
        <v>1099.8800000000001</v>
      </c>
      <c r="H226" s="1" t="str">
        <f>_xlfn.XLOOKUP(C226,Product!A:A,Product!B:B,"not found",0)</f>
        <v>Electra Townie Original 21D - 2016</v>
      </c>
      <c r="I226" s="1">
        <f t="shared" si="7"/>
        <v>1099.8800000000001</v>
      </c>
    </row>
    <row r="227" spans="1:9" x14ac:dyDescent="0.2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 s="1">
        <f t="shared" si="6"/>
        <v>599.79</v>
      </c>
      <c r="H227" s="1" t="str">
        <f>_xlfn.XLOOKUP(C227,Product!A:A,Product!B:B,"not found",0)</f>
        <v>Electra Townie Original 7D EQ - 2016</v>
      </c>
      <c r="I227" s="1">
        <f t="shared" si="7"/>
        <v>599.79</v>
      </c>
    </row>
    <row r="228" spans="1:9" x14ac:dyDescent="0.2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 s="1">
        <f t="shared" si="6"/>
        <v>499.79</v>
      </c>
      <c r="H228" s="1" t="str">
        <f>_xlfn.XLOOKUP(C228,Product!A:A,Product!B:B,"not found",0)</f>
        <v>Electra Townie Original 7D - 2015/2016</v>
      </c>
      <c r="I228" s="1">
        <f t="shared" si="7"/>
        <v>499.79</v>
      </c>
    </row>
    <row r="229" spans="1:9" x14ac:dyDescent="0.2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 s="1">
        <f t="shared" si="6"/>
        <v>428.93</v>
      </c>
      <c r="H229" s="1" t="str">
        <f>_xlfn.XLOOKUP(C229,Product!A:A,Product!B:B,"not found",0)</f>
        <v>Pure Cycles Vine 8-Speed - 2016</v>
      </c>
      <c r="I229" s="1">
        <f t="shared" si="7"/>
        <v>428.93</v>
      </c>
    </row>
    <row r="230" spans="1:9" x14ac:dyDescent="0.2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 s="1">
        <f t="shared" si="6"/>
        <v>448.8</v>
      </c>
      <c r="H230" s="1" t="str">
        <f>_xlfn.XLOOKUP(C230,Product!A:A,Product!B:B,"not found",0)</f>
        <v>Pure Cycles William 3-Speed - 2016</v>
      </c>
      <c r="I230" s="1">
        <f t="shared" si="7"/>
        <v>448.8</v>
      </c>
    </row>
    <row r="231" spans="1:9" x14ac:dyDescent="0.2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 s="1">
        <f t="shared" si="6"/>
        <v>897.9</v>
      </c>
      <c r="H231" s="1" t="str">
        <f>_xlfn.XLOOKUP(C231,Product!A:A,Product!B:B,"not found",0)</f>
        <v>Pure Cycles Western 3-Speed - Women's - 2015/2016</v>
      </c>
      <c r="I231" s="1">
        <f t="shared" si="7"/>
        <v>897.9</v>
      </c>
    </row>
    <row r="232" spans="1:9" x14ac:dyDescent="0.2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 s="1">
        <f t="shared" si="6"/>
        <v>539.88</v>
      </c>
      <c r="H232" s="1" t="str">
        <f>_xlfn.XLOOKUP(C232,Product!A:A,Product!B:B,"not found",0)</f>
        <v>Electra Girl's Hawaii 1 (16-inch) - 2015/2016</v>
      </c>
      <c r="I232" s="1">
        <f t="shared" si="7"/>
        <v>539.88</v>
      </c>
    </row>
    <row r="233" spans="1:9" x14ac:dyDescent="0.2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 s="1">
        <f t="shared" si="6"/>
        <v>5999.8799999999992</v>
      </c>
      <c r="H233" s="1" t="str">
        <f>_xlfn.XLOOKUP(C233,Product!A:A,Product!B:B,"not found",0)</f>
        <v>Trek Conduit+ - 2016</v>
      </c>
      <c r="I233" s="1">
        <f t="shared" si="7"/>
        <v>5999.8799999999992</v>
      </c>
    </row>
    <row r="234" spans="1:9" x14ac:dyDescent="0.2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 s="1">
        <f t="shared" si="6"/>
        <v>857.95</v>
      </c>
      <c r="H234" s="1" t="str">
        <f>_xlfn.XLOOKUP(C234,Product!A:A,Product!B:B,"not found",0)</f>
        <v>Pure Cycles Vine 8-Speed - 2016</v>
      </c>
      <c r="I234" s="1">
        <f t="shared" si="7"/>
        <v>857.95</v>
      </c>
    </row>
    <row r="235" spans="1:9" x14ac:dyDescent="0.2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 s="1">
        <f t="shared" si="6"/>
        <v>469.89</v>
      </c>
      <c r="H235" s="1" t="str">
        <f>_xlfn.XLOOKUP(C235,Product!A:A,Product!B:B,"not found",0)</f>
        <v>Surly Ice Cream Truck Frameset - 2016</v>
      </c>
      <c r="I235" s="1">
        <f t="shared" si="7"/>
        <v>469.89</v>
      </c>
    </row>
    <row r="236" spans="1:9" x14ac:dyDescent="0.2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 s="1">
        <f t="shared" si="6"/>
        <v>999.91</v>
      </c>
      <c r="H236" s="1" t="str">
        <f>_xlfn.XLOOKUP(C236,Product!A:A,Product!B:B,"not found",0)</f>
        <v>Electra Townie Original 7D - 2015/2016</v>
      </c>
      <c r="I236" s="1">
        <f t="shared" si="7"/>
        <v>999.91</v>
      </c>
    </row>
    <row r="237" spans="1:9" x14ac:dyDescent="0.2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 s="1">
        <f t="shared" si="6"/>
        <v>599.89</v>
      </c>
      <c r="H237" s="1" t="str">
        <f>_xlfn.XLOOKUP(C237,Product!A:A,Product!B:B,"not found",0)</f>
        <v>Electra Townie Original 7D EQ - 2016</v>
      </c>
      <c r="I237" s="1">
        <f t="shared" si="7"/>
        <v>599.89</v>
      </c>
    </row>
    <row r="238" spans="1:9" x14ac:dyDescent="0.2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 s="1">
        <f t="shared" si="6"/>
        <v>549.89</v>
      </c>
      <c r="H238" s="1" t="str">
        <f>_xlfn.XLOOKUP(C238,Product!A:A,Product!B:B,"not found",0)</f>
        <v>Electra Townie Original 21D - 2016</v>
      </c>
      <c r="I238" s="1">
        <f t="shared" si="7"/>
        <v>549.89</v>
      </c>
    </row>
    <row r="239" spans="1:9" x14ac:dyDescent="0.2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 s="1">
        <f t="shared" si="6"/>
        <v>428.8</v>
      </c>
      <c r="H239" s="1" t="str">
        <f>_xlfn.XLOOKUP(C239,Product!A:A,Product!B:B,"not found",0)</f>
        <v>Pure Cycles Vine 8-Speed - 2016</v>
      </c>
      <c r="I239" s="1">
        <f t="shared" si="7"/>
        <v>428.8</v>
      </c>
    </row>
    <row r="240" spans="1:9" x14ac:dyDescent="0.2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 s="1">
        <f t="shared" si="6"/>
        <v>3097.8</v>
      </c>
      <c r="H240" s="1" t="str">
        <f>_xlfn.XLOOKUP(C240,Product!A:A,Product!B:B,"not found",0)</f>
        <v>Surly Straggler - 2016</v>
      </c>
      <c r="I240" s="1">
        <f t="shared" si="7"/>
        <v>3097.8</v>
      </c>
    </row>
    <row r="241" spans="1:9" x14ac:dyDescent="0.2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 s="1">
        <f t="shared" si="6"/>
        <v>599.93000000000006</v>
      </c>
      <c r="H241" s="1" t="str">
        <f>_xlfn.XLOOKUP(C241,Product!A:A,Product!B:B,"not found",0)</f>
        <v>Electra Girl's Hawaii 1 (20-inch) - 2015/2016</v>
      </c>
      <c r="I241" s="1">
        <f t="shared" si="7"/>
        <v>599.93000000000006</v>
      </c>
    </row>
    <row r="242" spans="1:9" x14ac:dyDescent="0.2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 s="1">
        <f t="shared" si="6"/>
        <v>999.93000000000006</v>
      </c>
      <c r="H242" s="1" t="str">
        <f>_xlfn.XLOOKUP(C242,Product!A:A,Product!B:B,"not found",0)</f>
        <v>Electra Townie Original 7D - 2015/2016</v>
      </c>
      <c r="I242" s="1">
        <f t="shared" si="7"/>
        <v>999.93000000000006</v>
      </c>
    </row>
    <row r="243" spans="1:9" x14ac:dyDescent="0.2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 s="1">
        <f t="shared" si="6"/>
        <v>999.88</v>
      </c>
      <c r="H243" s="1" t="str">
        <f>_xlfn.XLOOKUP(C243,Product!A:A,Product!B:B,"not found",0)</f>
        <v>Electra Townie Original 7D - 2015/2016</v>
      </c>
      <c r="I243" s="1">
        <f t="shared" si="7"/>
        <v>999.88</v>
      </c>
    </row>
    <row r="244" spans="1:9" x14ac:dyDescent="0.2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 s="1">
        <f t="shared" si="6"/>
        <v>3361.78</v>
      </c>
      <c r="H244" s="1" t="str">
        <f>_xlfn.XLOOKUP(C244,Product!A:A,Product!B:B,"not found",0)</f>
        <v>Surly Straggler 650b - 2016</v>
      </c>
      <c r="I244" s="1">
        <f t="shared" si="7"/>
        <v>3361.78</v>
      </c>
    </row>
    <row r="245" spans="1:9" x14ac:dyDescent="0.2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 s="1">
        <f t="shared" si="6"/>
        <v>599.79</v>
      </c>
      <c r="H245" s="1" t="str">
        <f>_xlfn.XLOOKUP(C245,Product!A:A,Product!B:B,"not found",0)</f>
        <v>Electra Townie Original 7D EQ - Women's - 2016</v>
      </c>
      <c r="I245" s="1">
        <f t="shared" si="7"/>
        <v>599.79</v>
      </c>
    </row>
    <row r="246" spans="1:9" x14ac:dyDescent="0.2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 s="1">
        <f t="shared" si="6"/>
        <v>1999.93</v>
      </c>
      <c r="H246" s="1" t="str">
        <f>_xlfn.XLOOKUP(C246,Product!A:A,Product!B:B,"not found",0)</f>
        <v>Surly Wednesday Frameset - 2016</v>
      </c>
      <c r="I246" s="1">
        <f t="shared" si="7"/>
        <v>1999.93</v>
      </c>
    </row>
    <row r="247" spans="1:9" x14ac:dyDescent="0.2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 s="1">
        <f t="shared" si="6"/>
        <v>599.91</v>
      </c>
      <c r="H247" s="1" t="str">
        <f>_xlfn.XLOOKUP(C247,Product!A:A,Product!B:B,"not found",0)</f>
        <v>Electra Girl's Hawaii 1 (20-inch) - 2015/2016</v>
      </c>
      <c r="I247" s="1">
        <f t="shared" si="7"/>
        <v>599.91</v>
      </c>
    </row>
    <row r="248" spans="1:9" x14ac:dyDescent="0.2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 s="1">
        <f t="shared" si="6"/>
        <v>1059.9100000000001</v>
      </c>
      <c r="H248" s="1" t="str">
        <f>_xlfn.XLOOKUP(C248,Product!A:A,Product!B:B,"not found",0)</f>
        <v>Electra Moto 1 - 2016</v>
      </c>
      <c r="I248" s="1">
        <f t="shared" si="7"/>
        <v>1059.9100000000001</v>
      </c>
    </row>
    <row r="249" spans="1:9" x14ac:dyDescent="0.2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 s="1">
        <f t="shared" si="6"/>
        <v>5799.9299999999994</v>
      </c>
      <c r="H249" s="1" t="str">
        <f>_xlfn.XLOOKUP(C249,Product!A:A,Product!B:B,"not found",0)</f>
        <v>Trek Fuel EX 8 29 - 2016</v>
      </c>
      <c r="I249" s="1">
        <f t="shared" si="7"/>
        <v>5799.9299999999994</v>
      </c>
    </row>
    <row r="250" spans="1:9" x14ac:dyDescent="0.2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 s="1">
        <f t="shared" si="6"/>
        <v>448.93</v>
      </c>
      <c r="H250" s="1" t="str">
        <f>_xlfn.XLOOKUP(C250,Product!A:A,Product!B:B,"not found",0)</f>
        <v>Pure Cycles Western 3-Speed - Women's - 2015/2016</v>
      </c>
      <c r="I250" s="1">
        <f t="shared" si="7"/>
        <v>448.93</v>
      </c>
    </row>
    <row r="251" spans="1:9" x14ac:dyDescent="0.2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 s="1">
        <f t="shared" si="6"/>
        <v>5999.8799999999992</v>
      </c>
      <c r="H251" s="1" t="str">
        <f>_xlfn.XLOOKUP(C251,Product!A:A,Product!B:B,"not found",0)</f>
        <v>Trek Conduit+ - 2016</v>
      </c>
      <c r="I251" s="1">
        <f t="shared" si="7"/>
        <v>5999.8799999999992</v>
      </c>
    </row>
    <row r="252" spans="1:9" x14ac:dyDescent="0.2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 s="1">
        <f t="shared" si="6"/>
        <v>599.91</v>
      </c>
      <c r="H252" s="1" t="str">
        <f>_xlfn.XLOOKUP(C252,Product!A:A,Product!B:B,"not found",0)</f>
        <v>Electra Girl's Hawaii 1 (20-inch) - 2015/2016</v>
      </c>
      <c r="I252" s="1">
        <f t="shared" si="7"/>
        <v>599.91</v>
      </c>
    </row>
    <row r="253" spans="1:9" x14ac:dyDescent="0.2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 s="1">
        <f t="shared" si="6"/>
        <v>539.78</v>
      </c>
      <c r="H253" s="1" t="str">
        <f>_xlfn.XLOOKUP(C253,Product!A:A,Product!B:B,"not found",0)</f>
        <v>Electra Cruiser 1 (24-Inch) - 2016</v>
      </c>
      <c r="I253" s="1">
        <f t="shared" si="7"/>
        <v>539.78</v>
      </c>
    </row>
    <row r="254" spans="1:9" x14ac:dyDescent="0.2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 s="1">
        <f t="shared" si="6"/>
        <v>529.89</v>
      </c>
      <c r="H254" s="1" t="str">
        <f>_xlfn.XLOOKUP(C254,Product!A:A,Product!B:B,"not found",0)</f>
        <v>Electra Moto 1 - 2016</v>
      </c>
      <c r="I254" s="1">
        <f t="shared" si="7"/>
        <v>529.89</v>
      </c>
    </row>
    <row r="255" spans="1:9" x14ac:dyDescent="0.2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 s="1">
        <f t="shared" si="6"/>
        <v>1199.78</v>
      </c>
      <c r="H255" s="1" t="str">
        <f>_xlfn.XLOOKUP(C255,Product!A:A,Product!B:B,"not found",0)</f>
        <v>Electra Townie Original 7D EQ - Women's - 2016</v>
      </c>
      <c r="I255" s="1">
        <f t="shared" si="7"/>
        <v>1199.78</v>
      </c>
    </row>
    <row r="256" spans="1:9" x14ac:dyDescent="0.2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 s="1">
        <f t="shared" si="6"/>
        <v>599.88</v>
      </c>
      <c r="H256" s="1" t="str">
        <f>_xlfn.XLOOKUP(C256,Product!A:A,Product!B:B,"not found",0)</f>
        <v>Electra Girl's Hawaii 1 (20-inch) - 2015/2016</v>
      </c>
      <c r="I256" s="1">
        <f t="shared" si="7"/>
        <v>599.88</v>
      </c>
    </row>
    <row r="257" spans="1:9" x14ac:dyDescent="0.2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 s="1">
        <f t="shared" si="6"/>
        <v>1548.93</v>
      </c>
      <c r="H257" s="1" t="str">
        <f>_xlfn.XLOOKUP(C257,Product!A:A,Product!B:B,"not found",0)</f>
        <v>Surly Straggler - 2016</v>
      </c>
      <c r="I257" s="1">
        <f t="shared" si="7"/>
        <v>1548.93</v>
      </c>
    </row>
    <row r="258" spans="1:9" x14ac:dyDescent="0.2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 s="1">
        <f t="shared" si="6"/>
        <v>3599.88</v>
      </c>
      <c r="H258" s="1" t="str">
        <f>_xlfn.XLOOKUP(C258,Product!A:A,Product!B:B,"not found",0)</f>
        <v>Trek Remedy 29 Carbon Frameset - 2016</v>
      </c>
      <c r="I258" s="1">
        <f t="shared" si="7"/>
        <v>3599.88</v>
      </c>
    </row>
    <row r="259" spans="1:9" x14ac:dyDescent="0.2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 s="1">
        <f t="shared" ref="G259:G322" si="8">(E259*D259)-F259</f>
        <v>3999.89</v>
      </c>
      <c r="H259" s="1" t="str">
        <f>_xlfn.XLOOKUP(C259,Product!A:A,Product!B:B,"not found",0)</f>
        <v>Trek Slash 8 27.5 - 2016</v>
      </c>
      <c r="I259" s="1">
        <f t="shared" ref="I259:I322" si="9">(D259*E259)-F259</f>
        <v>3999.89</v>
      </c>
    </row>
    <row r="260" spans="1:9" x14ac:dyDescent="0.2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 s="1">
        <f t="shared" si="8"/>
        <v>1320.94</v>
      </c>
      <c r="H260" s="1" t="str">
        <f>_xlfn.XLOOKUP(C260,Product!A:A,Product!B:B,"not found",0)</f>
        <v>Heller Shagamaw Frame - 2016</v>
      </c>
      <c r="I260" s="1">
        <f t="shared" si="9"/>
        <v>1320.94</v>
      </c>
    </row>
    <row r="261" spans="1:9" x14ac:dyDescent="0.2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 s="1">
        <f t="shared" si="8"/>
        <v>939.88</v>
      </c>
      <c r="H261" s="1" t="str">
        <f>_xlfn.XLOOKUP(C261,Product!A:A,Product!B:B,"not found",0)</f>
        <v>Surly Ice Cream Truck Frameset - 2016</v>
      </c>
      <c r="I261" s="1">
        <f t="shared" si="9"/>
        <v>939.88</v>
      </c>
    </row>
    <row r="262" spans="1:9" x14ac:dyDescent="0.2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 s="1">
        <f t="shared" si="8"/>
        <v>999.89</v>
      </c>
      <c r="H262" s="1" t="str">
        <f>_xlfn.XLOOKUP(C262,Product!A:A,Product!B:B,"not found",0)</f>
        <v>Surly Wednesday Frameset - 2016</v>
      </c>
      <c r="I262" s="1">
        <f t="shared" si="9"/>
        <v>999.89</v>
      </c>
    </row>
    <row r="263" spans="1:9" x14ac:dyDescent="0.2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 s="1">
        <f t="shared" si="8"/>
        <v>469.92</v>
      </c>
      <c r="H263" s="1" t="str">
        <f>_xlfn.XLOOKUP(C263,Product!A:A,Product!B:B,"not found",0)</f>
        <v>Surly Ice Cream Truck Frameset - 2016</v>
      </c>
      <c r="I263" s="1">
        <f t="shared" si="9"/>
        <v>469.92</v>
      </c>
    </row>
    <row r="264" spans="1:9" x14ac:dyDescent="0.2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 s="1">
        <f t="shared" si="8"/>
        <v>1680.89</v>
      </c>
      <c r="H264" s="1" t="str">
        <f>_xlfn.XLOOKUP(C264,Product!A:A,Product!B:B,"not found",0)</f>
        <v>Surly Straggler 650b - 2016</v>
      </c>
      <c r="I264" s="1">
        <f t="shared" si="9"/>
        <v>1680.89</v>
      </c>
    </row>
    <row r="265" spans="1:9" x14ac:dyDescent="0.2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 s="1">
        <f t="shared" si="8"/>
        <v>499.94</v>
      </c>
      <c r="H265" s="1" t="str">
        <f>_xlfn.XLOOKUP(C265,Product!A:A,Product!B:B,"not found",0)</f>
        <v>Electra Townie Original 7D - 2015/2016</v>
      </c>
      <c r="I265" s="1">
        <f t="shared" si="9"/>
        <v>499.94</v>
      </c>
    </row>
    <row r="266" spans="1:9" x14ac:dyDescent="0.2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 s="1">
        <f t="shared" si="8"/>
        <v>1059.9100000000001</v>
      </c>
      <c r="H266" s="1" t="str">
        <f>_xlfn.XLOOKUP(C266,Product!A:A,Product!B:B,"not found",0)</f>
        <v>Electra Moto 1 - 2016</v>
      </c>
      <c r="I266" s="1">
        <f t="shared" si="9"/>
        <v>1059.9100000000001</v>
      </c>
    </row>
    <row r="267" spans="1:9" x14ac:dyDescent="0.2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 s="1">
        <f t="shared" si="8"/>
        <v>539.91</v>
      </c>
      <c r="H267" s="1" t="str">
        <f>_xlfn.XLOOKUP(C267,Product!A:A,Product!B:B,"not found",0)</f>
        <v>Electra Cruiser 1 (24-Inch) - 2016</v>
      </c>
      <c r="I267" s="1">
        <f t="shared" si="9"/>
        <v>539.91</v>
      </c>
    </row>
    <row r="268" spans="1:9" x14ac:dyDescent="0.2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 s="1">
        <f t="shared" si="8"/>
        <v>1799.89</v>
      </c>
      <c r="H268" s="1" t="str">
        <f>_xlfn.XLOOKUP(C268,Product!A:A,Product!B:B,"not found",0)</f>
        <v>Trek Remedy 29 Carbon Frameset - 2016</v>
      </c>
      <c r="I268" s="1">
        <f t="shared" si="9"/>
        <v>1799.89</v>
      </c>
    </row>
    <row r="269" spans="1:9" x14ac:dyDescent="0.2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 s="1">
        <f t="shared" si="8"/>
        <v>539.91</v>
      </c>
      <c r="H269" s="1" t="str">
        <f>_xlfn.XLOOKUP(C269,Product!A:A,Product!B:B,"not found",0)</f>
        <v>Electra Girl's Hawaii 1 (16-inch) - 2015/2016</v>
      </c>
      <c r="I269" s="1">
        <f t="shared" si="9"/>
        <v>539.91</v>
      </c>
    </row>
    <row r="270" spans="1:9" x14ac:dyDescent="0.2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 s="1">
        <f t="shared" si="8"/>
        <v>428.95</v>
      </c>
      <c r="H270" s="1" t="str">
        <f>_xlfn.XLOOKUP(C270,Product!A:A,Product!B:B,"not found",0)</f>
        <v>Pure Cycles Vine 8-Speed - 2016</v>
      </c>
      <c r="I270" s="1">
        <f t="shared" si="9"/>
        <v>428.95</v>
      </c>
    </row>
    <row r="271" spans="1:9" x14ac:dyDescent="0.2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 s="1">
        <f t="shared" si="8"/>
        <v>269.89</v>
      </c>
      <c r="H271" s="1" t="str">
        <f>_xlfn.XLOOKUP(C271,Product!A:A,Product!B:B,"not found",0)</f>
        <v>Electra Cruiser 1 (24-Inch) - 2016</v>
      </c>
      <c r="I271" s="1">
        <f t="shared" si="9"/>
        <v>269.89</v>
      </c>
    </row>
    <row r="272" spans="1:9" x14ac:dyDescent="0.2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 s="1">
        <f t="shared" si="8"/>
        <v>749.79</v>
      </c>
      <c r="H272" s="1" t="str">
        <f>_xlfn.XLOOKUP(C272,Product!A:A,Product!B:B,"not found",0)</f>
        <v>Ritchey Timberwolf Frameset - 2016</v>
      </c>
      <c r="I272" s="1">
        <f t="shared" si="9"/>
        <v>749.79</v>
      </c>
    </row>
    <row r="273" spans="1:9" x14ac:dyDescent="0.2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 s="1">
        <f t="shared" si="8"/>
        <v>3097.93</v>
      </c>
      <c r="H273" s="1" t="str">
        <f>_xlfn.XLOOKUP(C273,Product!A:A,Product!B:B,"not found",0)</f>
        <v>Surly Straggler - 2016</v>
      </c>
      <c r="I273" s="1">
        <f t="shared" si="9"/>
        <v>3097.93</v>
      </c>
    </row>
    <row r="274" spans="1:9" x14ac:dyDescent="0.2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 s="1">
        <f t="shared" si="8"/>
        <v>549.94000000000005</v>
      </c>
      <c r="H274" s="1" t="str">
        <f>_xlfn.XLOOKUP(C274,Product!A:A,Product!B:B,"not found",0)</f>
        <v>Electra Townie Original 21D - 2016</v>
      </c>
      <c r="I274" s="1">
        <f t="shared" si="9"/>
        <v>549.94000000000005</v>
      </c>
    </row>
    <row r="275" spans="1:9" x14ac:dyDescent="0.2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 s="1">
        <f t="shared" si="8"/>
        <v>2899.79</v>
      </c>
      <c r="H275" s="1" t="str">
        <f>_xlfn.XLOOKUP(C275,Product!A:A,Product!B:B,"not found",0)</f>
        <v>Trek Fuel EX 8 29 - 2016</v>
      </c>
      <c r="I275" s="1">
        <f t="shared" si="9"/>
        <v>2899.79</v>
      </c>
    </row>
    <row r="276" spans="1:9" x14ac:dyDescent="0.2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 s="1">
        <f t="shared" si="8"/>
        <v>1680.79</v>
      </c>
      <c r="H276" s="1" t="str">
        <f>_xlfn.XLOOKUP(C276,Product!A:A,Product!B:B,"not found",0)</f>
        <v>Surly Straggler 650b - 2016</v>
      </c>
      <c r="I276" s="1">
        <f t="shared" si="9"/>
        <v>1680.79</v>
      </c>
    </row>
    <row r="277" spans="1:9" x14ac:dyDescent="0.2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 s="1">
        <f t="shared" si="8"/>
        <v>539.91</v>
      </c>
      <c r="H277" s="1" t="str">
        <f>_xlfn.XLOOKUP(C277,Product!A:A,Product!B:B,"not found",0)</f>
        <v>Electra Cruiser 1 (24-Inch) - 2016</v>
      </c>
      <c r="I277" s="1">
        <f t="shared" si="9"/>
        <v>539.91</v>
      </c>
    </row>
    <row r="278" spans="1:9" x14ac:dyDescent="0.2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 s="1">
        <f t="shared" si="8"/>
        <v>3097.8</v>
      </c>
      <c r="H278" s="1" t="str">
        <f>_xlfn.XLOOKUP(C278,Product!A:A,Product!B:B,"not found",0)</f>
        <v>Surly Straggler - 2016</v>
      </c>
      <c r="I278" s="1">
        <f t="shared" si="9"/>
        <v>3097.8</v>
      </c>
    </row>
    <row r="279" spans="1:9" x14ac:dyDescent="0.2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 s="1">
        <f t="shared" si="8"/>
        <v>448.9</v>
      </c>
      <c r="H279" s="1" t="str">
        <f>_xlfn.XLOOKUP(C279,Product!A:A,Product!B:B,"not found",0)</f>
        <v>Pure Cycles William 3-Speed - 2016</v>
      </c>
      <c r="I279" s="1">
        <f t="shared" si="9"/>
        <v>448.9</v>
      </c>
    </row>
    <row r="280" spans="1:9" x14ac:dyDescent="0.2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 s="1">
        <f t="shared" si="8"/>
        <v>3599.78</v>
      </c>
      <c r="H280" s="1" t="str">
        <f>_xlfn.XLOOKUP(C280,Product!A:A,Product!B:B,"not found",0)</f>
        <v>Trek Remedy 29 Carbon Frameset - 2016</v>
      </c>
      <c r="I280" s="1">
        <f t="shared" si="9"/>
        <v>3599.78</v>
      </c>
    </row>
    <row r="281" spans="1:9" x14ac:dyDescent="0.2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 s="1">
        <f t="shared" si="8"/>
        <v>1199.93</v>
      </c>
      <c r="H281" s="1" t="str">
        <f>_xlfn.XLOOKUP(C281,Product!A:A,Product!B:B,"not found",0)</f>
        <v>Electra Townie Original 7D EQ - Women's - 2016</v>
      </c>
      <c r="I281" s="1">
        <f t="shared" si="9"/>
        <v>1199.93</v>
      </c>
    </row>
    <row r="282" spans="1:9" x14ac:dyDescent="0.2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 s="1">
        <f t="shared" si="8"/>
        <v>599.89</v>
      </c>
      <c r="H282" s="1" t="str">
        <f>_xlfn.XLOOKUP(C282,Product!A:A,Product!B:B,"not found",0)</f>
        <v>Electra Townie Original 7D EQ - 2016</v>
      </c>
      <c r="I282" s="1">
        <f t="shared" si="9"/>
        <v>599.89</v>
      </c>
    </row>
    <row r="283" spans="1:9" x14ac:dyDescent="0.2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 s="1">
        <f t="shared" si="8"/>
        <v>299.94</v>
      </c>
      <c r="H283" s="1" t="str">
        <f>_xlfn.XLOOKUP(C283,Product!A:A,Product!B:B,"not found",0)</f>
        <v>Electra Girl's Hawaii 1 (20-inch) - 2015/2016</v>
      </c>
      <c r="I283" s="1">
        <f t="shared" si="9"/>
        <v>299.94</v>
      </c>
    </row>
    <row r="284" spans="1:9" x14ac:dyDescent="0.2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 s="1">
        <f t="shared" si="8"/>
        <v>1199.78</v>
      </c>
      <c r="H284" s="1" t="str">
        <f>_xlfn.XLOOKUP(C284,Product!A:A,Product!B:B,"not found",0)</f>
        <v>Electra Townie Original 7D EQ - Women's - 2016</v>
      </c>
      <c r="I284" s="1">
        <f t="shared" si="9"/>
        <v>1199.78</v>
      </c>
    </row>
    <row r="285" spans="1:9" x14ac:dyDescent="0.2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 s="1">
        <f t="shared" si="8"/>
        <v>749.92</v>
      </c>
      <c r="H285" s="1" t="str">
        <f>_xlfn.XLOOKUP(C285,Product!A:A,Product!B:B,"not found",0)</f>
        <v>Ritchey Timberwolf Frameset - 2016</v>
      </c>
      <c r="I285" s="1">
        <f t="shared" si="9"/>
        <v>749.92</v>
      </c>
    </row>
    <row r="286" spans="1:9" x14ac:dyDescent="0.2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 s="1">
        <f t="shared" si="8"/>
        <v>939.78</v>
      </c>
      <c r="H286" s="1" t="str">
        <f>_xlfn.XLOOKUP(C286,Product!A:A,Product!B:B,"not found",0)</f>
        <v>Surly Ice Cream Truck Frameset - 2016</v>
      </c>
      <c r="I286" s="1">
        <f t="shared" si="9"/>
        <v>939.78</v>
      </c>
    </row>
    <row r="287" spans="1:9" x14ac:dyDescent="0.2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 s="1">
        <f t="shared" si="8"/>
        <v>448.9</v>
      </c>
      <c r="H287" s="1" t="str">
        <f>_xlfn.XLOOKUP(C287,Product!A:A,Product!B:B,"not found",0)</f>
        <v>Pure Cycles William 3-Speed - 2016</v>
      </c>
      <c r="I287" s="1">
        <f t="shared" si="9"/>
        <v>448.9</v>
      </c>
    </row>
    <row r="288" spans="1:9" x14ac:dyDescent="0.2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 s="1">
        <f t="shared" si="8"/>
        <v>448.93</v>
      </c>
      <c r="H288" s="1" t="str">
        <f>_xlfn.XLOOKUP(C288,Product!A:A,Product!B:B,"not found",0)</f>
        <v>Pure Cycles William 3-Speed - 2016</v>
      </c>
      <c r="I288" s="1">
        <f t="shared" si="9"/>
        <v>448.93</v>
      </c>
    </row>
    <row r="289" spans="1:9" x14ac:dyDescent="0.2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 s="1">
        <f t="shared" si="8"/>
        <v>269.89</v>
      </c>
      <c r="H289" s="1" t="str">
        <f>_xlfn.XLOOKUP(C289,Product!A:A,Product!B:B,"not found",0)</f>
        <v>Electra Cruiser 1 (24-Inch) - 2016</v>
      </c>
      <c r="I289" s="1">
        <f t="shared" si="9"/>
        <v>269.89</v>
      </c>
    </row>
    <row r="290" spans="1:9" x14ac:dyDescent="0.2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 s="1">
        <f t="shared" si="8"/>
        <v>749.79</v>
      </c>
      <c r="H290" s="1" t="str">
        <f>_xlfn.XLOOKUP(C290,Product!A:A,Product!B:B,"not found",0)</f>
        <v>Ritchey Timberwolf Frameset - 2016</v>
      </c>
      <c r="I290" s="1">
        <f t="shared" si="9"/>
        <v>749.79</v>
      </c>
    </row>
    <row r="291" spans="1:9" x14ac:dyDescent="0.2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 s="1">
        <f t="shared" si="8"/>
        <v>539.78</v>
      </c>
      <c r="H291" s="1" t="str">
        <f>_xlfn.XLOOKUP(C291,Product!A:A,Product!B:B,"not found",0)</f>
        <v>Electra Girl's Hawaii 1 (16-inch) - 2015/2016</v>
      </c>
      <c r="I291" s="1">
        <f t="shared" si="9"/>
        <v>539.78</v>
      </c>
    </row>
    <row r="292" spans="1:9" x14ac:dyDescent="0.2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 s="1">
        <f t="shared" si="8"/>
        <v>269.79000000000002</v>
      </c>
      <c r="H292" s="1" t="str">
        <f>_xlfn.XLOOKUP(C292,Product!A:A,Product!B:B,"not found",0)</f>
        <v>Electra Cruiser 1 (24-Inch) - 2016</v>
      </c>
      <c r="I292" s="1">
        <f t="shared" si="9"/>
        <v>269.79000000000002</v>
      </c>
    </row>
    <row r="293" spans="1:9" x14ac:dyDescent="0.2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 s="1">
        <f t="shared" si="8"/>
        <v>269.79000000000002</v>
      </c>
      <c r="H293" s="1" t="str">
        <f>_xlfn.XLOOKUP(C293,Product!A:A,Product!B:B,"not found",0)</f>
        <v>Electra Cruiser 1 (24-Inch) - 2016</v>
      </c>
      <c r="I293" s="1">
        <f t="shared" si="9"/>
        <v>269.79000000000002</v>
      </c>
    </row>
    <row r="294" spans="1:9" x14ac:dyDescent="0.2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 s="1">
        <f t="shared" si="8"/>
        <v>999.93000000000006</v>
      </c>
      <c r="H294" s="1" t="str">
        <f>_xlfn.XLOOKUP(C294,Product!A:A,Product!B:B,"not found",0)</f>
        <v>Electra Townie Original 7D - 2015/2016</v>
      </c>
      <c r="I294" s="1">
        <f t="shared" si="9"/>
        <v>999.93000000000006</v>
      </c>
    </row>
    <row r="295" spans="1:9" x14ac:dyDescent="0.2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 s="1">
        <f t="shared" si="8"/>
        <v>7999.91</v>
      </c>
      <c r="H295" s="1" t="str">
        <f>_xlfn.XLOOKUP(C295,Product!A:A,Product!B:B,"not found",0)</f>
        <v>Trek Slash 8 27.5 - 2016</v>
      </c>
      <c r="I295" s="1">
        <f t="shared" si="9"/>
        <v>7999.91</v>
      </c>
    </row>
    <row r="296" spans="1:9" x14ac:dyDescent="0.2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 s="1">
        <f t="shared" si="8"/>
        <v>599.78</v>
      </c>
      <c r="H296" s="1" t="str">
        <f>_xlfn.XLOOKUP(C296,Product!A:A,Product!B:B,"not found",0)</f>
        <v>Electra Girl's Hawaii 1 (20-inch) - 2015/2016</v>
      </c>
      <c r="I296" s="1">
        <f t="shared" si="9"/>
        <v>599.78</v>
      </c>
    </row>
    <row r="297" spans="1:9" x14ac:dyDescent="0.2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 s="1">
        <f t="shared" si="8"/>
        <v>1099.93</v>
      </c>
      <c r="H297" s="1" t="str">
        <f>_xlfn.XLOOKUP(C297,Product!A:A,Product!B:B,"not found",0)</f>
        <v>Electra Townie Original 21D - 2016</v>
      </c>
      <c r="I297" s="1">
        <f t="shared" si="9"/>
        <v>1099.93</v>
      </c>
    </row>
    <row r="298" spans="1:9" x14ac:dyDescent="0.2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 s="1">
        <f t="shared" si="8"/>
        <v>3361.88</v>
      </c>
      <c r="H298" s="1" t="str">
        <f>_xlfn.XLOOKUP(C298,Product!A:A,Product!B:B,"not found",0)</f>
        <v>Surly Straggler 650b - 2016</v>
      </c>
      <c r="I298" s="1">
        <f t="shared" si="9"/>
        <v>3361.88</v>
      </c>
    </row>
    <row r="299" spans="1:9" x14ac:dyDescent="0.2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 s="1">
        <f t="shared" si="8"/>
        <v>7999.78</v>
      </c>
      <c r="H299" s="1" t="str">
        <f>_xlfn.XLOOKUP(C299,Product!A:A,Product!B:B,"not found",0)</f>
        <v>Trek Slash 8 27.5 - 2016</v>
      </c>
      <c r="I299" s="1">
        <f t="shared" si="9"/>
        <v>7999.78</v>
      </c>
    </row>
    <row r="300" spans="1:9" x14ac:dyDescent="0.2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 s="1">
        <f t="shared" si="8"/>
        <v>1199.78</v>
      </c>
      <c r="H300" s="1" t="str">
        <f>_xlfn.XLOOKUP(C300,Product!A:A,Product!B:B,"not found",0)</f>
        <v>Electra Townie Original 7D EQ - 2016</v>
      </c>
      <c r="I300" s="1">
        <f t="shared" si="9"/>
        <v>1199.78</v>
      </c>
    </row>
    <row r="301" spans="1:9" x14ac:dyDescent="0.2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 s="1">
        <f t="shared" si="8"/>
        <v>1099.8800000000001</v>
      </c>
      <c r="H301" s="1" t="str">
        <f>_xlfn.XLOOKUP(C301,Product!A:A,Product!B:B,"not found",0)</f>
        <v>Electra Townie Original 21D - 2016</v>
      </c>
      <c r="I301" s="1">
        <f t="shared" si="9"/>
        <v>1099.8800000000001</v>
      </c>
    </row>
    <row r="302" spans="1:9" x14ac:dyDescent="0.2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 s="1">
        <f t="shared" si="8"/>
        <v>1099.78</v>
      </c>
      <c r="H302" s="1" t="str">
        <f>_xlfn.XLOOKUP(C302,Product!A:A,Product!B:B,"not found",0)</f>
        <v>Electra Townie Original 21D - 2016</v>
      </c>
      <c r="I302" s="1">
        <f t="shared" si="9"/>
        <v>1099.78</v>
      </c>
    </row>
    <row r="303" spans="1:9" x14ac:dyDescent="0.2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 s="1">
        <f t="shared" si="8"/>
        <v>529.94000000000005</v>
      </c>
      <c r="H303" s="1" t="str">
        <f>_xlfn.XLOOKUP(C303,Product!A:A,Product!B:B,"not found",0)</f>
        <v>Electra Moto 1 - 2016</v>
      </c>
      <c r="I303" s="1">
        <f t="shared" si="9"/>
        <v>529.94000000000005</v>
      </c>
    </row>
    <row r="304" spans="1:9" x14ac:dyDescent="0.2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 s="1">
        <f t="shared" si="8"/>
        <v>269.92</v>
      </c>
      <c r="H304" s="1" t="str">
        <f>_xlfn.XLOOKUP(C304,Product!A:A,Product!B:B,"not found",0)</f>
        <v>Electra Girl's Hawaii 1 (16-inch) - 2015/2016</v>
      </c>
      <c r="I304" s="1">
        <f t="shared" si="9"/>
        <v>269.92</v>
      </c>
    </row>
    <row r="305" spans="1:9" x14ac:dyDescent="0.2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 s="1">
        <f t="shared" si="8"/>
        <v>428.93</v>
      </c>
      <c r="H305" s="1" t="str">
        <f>_xlfn.XLOOKUP(C305,Product!A:A,Product!B:B,"not found",0)</f>
        <v>Pure Cycles Vine 8-Speed - 2016</v>
      </c>
      <c r="I305" s="1">
        <f t="shared" si="9"/>
        <v>428.93</v>
      </c>
    </row>
    <row r="306" spans="1:9" x14ac:dyDescent="0.2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 s="1">
        <f t="shared" si="8"/>
        <v>999.94</v>
      </c>
      <c r="H306" s="1" t="str">
        <f>_xlfn.XLOOKUP(C306,Product!A:A,Product!B:B,"not found",0)</f>
        <v>Surly Wednesday Frameset - 2016</v>
      </c>
      <c r="I306" s="1">
        <f t="shared" si="9"/>
        <v>999.94</v>
      </c>
    </row>
    <row r="307" spans="1:9" x14ac:dyDescent="0.2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 s="1">
        <f t="shared" si="8"/>
        <v>448.8</v>
      </c>
      <c r="H307" s="1" t="str">
        <f>_xlfn.XLOOKUP(C307,Product!A:A,Product!B:B,"not found",0)</f>
        <v>Pure Cycles Western 3-Speed - Women's - 2015/2016</v>
      </c>
      <c r="I307" s="1">
        <f t="shared" si="9"/>
        <v>448.8</v>
      </c>
    </row>
    <row r="308" spans="1:9" x14ac:dyDescent="0.2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 s="1">
        <f t="shared" si="8"/>
        <v>1059.8800000000001</v>
      </c>
      <c r="H308" s="1" t="str">
        <f>_xlfn.XLOOKUP(C308,Product!A:A,Product!B:B,"not found",0)</f>
        <v>Electra Moto 1 - 2016</v>
      </c>
      <c r="I308" s="1">
        <f t="shared" si="9"/>
        <v>1059.8800000000001</v>
      </c>
    </row>
    <row r="309" spans="1:9" x14ac:dyDescent="0.2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 s="1">
        <f t="shared" si="8"/>
        <v>5999.8799999999992</v>
      </c>
      <c r="H309" s="1" t="str">
        <f>_xlfn.XLOOKUP(C309,Product!A:A,Product!B:B,"not found",0)</f>
        <v>Trek Conduit+ - 2016</v>
      </c>
      <c r="I309" s="1">
        <f t="shared" si="9"/>
        <v>5999.8799999999992</v>
      </c>
    </row>
    <row r="310" spans="1:9" x14ac:dyDescent="0.2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 s="1">
        <f t="shared" si="8"/>
        <v>897.9</v>
      </c>
      <c r="H310" s="1" t="str">
        <f>_xlfn.XLOOKUP(C310,Product!A:A,Product!B:B,"not found",0)</f>
        <v>Pure Cycles William 3-Speed - 2016</v>
      </c>
      <c r="I310" s="1">
        <f t="shared" si="9"/>
        <v>897.9</v>
      </c>
    </row>
    <row r="311" spans="1:9" x14ac:dyDescent="0.2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 s="1">
        <f t="shared" si="8"/>
        <v>599.94000000000005</v>
      </c>
      <c r="H311" s="1" t="str">
        <f>_xlfn.XLOOKUP(C311,Product!A:A,Product!B:B,"not found",0)</f>
        <v>Electra Townie Original 7D EQ - 2016</v>
      </c>
      <c r="I311" s="1">
        <f t="shared" si="9"/>
        <v>599.94000000000005</v>
      </c>
    </row>
    <row r="312" spans="1:9" x14ac:dyDescent="0.2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 s="1">
        <f t="shared" si="8"/>
        <v>3361.78</v>
      </c>
      <c r="H312" s="1" t="str">
        <f>_xlfn.XLOOKUP(C312,Product!A:A,Product!B:B,"not found",0)</f>
        <v>Surly Straggler 650b - 2016</v>
      </c>
      <c r="I312" s="1">
        <f t="shared" si="9"/>
        <v>3361.78</v>
      </c>
    </row>
    <row r="313" spans="1:9" x14ac:dyDescent="0.2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 s="1">
        <f t="shared" si="8"/>
        <v>999.94</v>
      </c>
      <c r="H313" s="1" t="str">
        <f>_xlfn.XLOOKUP(C313,Product!A:A,Product!B:B,"not found",0)</f>
        <v>Surly Wednesday Frameset - 2016</v>
      </c>
      <c r="I313" s="1">
        <f t="shared" si="9"/>
        <v>999.94</v>
      </c>
    </row>
    <row r="314" spans="1:9" x14ac:dyDescent="0.2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 s="1">
        <f t="shared" si="8"/>
        <v>2999.9399999999996</v>
      </c>
      <c r="H314" s="1" t="str">
        <f>_xlfn.XLOOKUP(C314,Product!A:A,Product!B:B,"not found",0)</f>
        <v>Trek Conduit+ - 2016</v>
      </c>
      <c r="I314" s="1">
        <f t="shared" si="9"/>
        <v>2999.9399999999996</v>
      </c>
    </row>
    <row r="315" spans="1:9" x14ac:dyDescent="0.2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 s="1">
        <f t="shared" si="8"/>
        <v>428.9</v>
      </c>
      <c r="H315" s="1" t="str">
        <f>_xlfn.XLOOKUP(C315,Product!A:A,Product!B:B,"not found",0)</f>
        <v>Pure Cycles Vine 8-Speed - 2016</v>
      </c>
      <c r="I315" s="1">
        <f t="shared" si="9"/>
        <v>428.9</v>
      </c>
    </row>
    <row r="316" spans="1:9" x14ac:dyDescent="0.2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 s="1">
        <f t="shared" si="8"/>
        <v>539.88</v>
      </c>
      <c r="H316" s="1" t="str">
        <f>_xlfn.XLOOKUP(C316,Product!A:A,Product!B:B,"not found",0)</f>
        <v>Electra Cruiser 1 (24-Inch) - 2016</v>
      </c>
      <c r="I316" s="1">
        <f t="shared" si="9"/>
        <v>539.88</v>
      </c>
    </row>
    <row r="317" spans="1:9" x14ac:dyDescent="0.2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 s="1">
        <f t="shared" si="8"/>
        <v>448.8</v>
      </c>
      <c r="H317" s="1" t="str">
        <f>_xlfn.XLOOKUP(C317,Product!A:A,Product!B:B,"not found",0)</f>
        <v>Pure Cycles William 3-Speed - 2016</v>
      </c>
      <c r="I317" s="1">
        <f t="shared" si="9"/>
        <v>448.8</v>
      </c>
    </row>
    <row r="318" spans="1:9" x14ac:dyDescent="0.2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 s="1">
        <f t="shared" si="8"/>
        <v>539.88</v>
      </c>
      <c r="H318" s="1" t="str">
        <f>_xlfn.XLOOKUP(C318,Product!A:A,Product!B:B,"not found",0)</f>
        <v>Electra Cruiser 1 (24-Inch) - 2016</v>
      </c>
      <c r="I318" s="1">
        <f t="shared" si="9"/>
        <v>539.88</v>
      </c>
    </row>
    <row r="319" spans="1:9" x14ac:dyDescent="0.2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 s="1">
        <f t="shared" si="8"/>
        <v>1680.89</v>
      </c>
      <c r="H319" s="1" t="str">
        <f>_xlfn.XLOOKUP(C319,Product!A:A,Product!B:B,"not found",0)</f>
        <v>Surly Straggler 650b - 2016</v>
      </c>
      <c r="I319" s="1">
        <f t="shared" si="9"/>
        <v>1680.89</v>
      </c>
    </row>
    <row r="320" spans="1:9" x14ac:dyDescent="0.2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 s="1">
        <f t="shared" si="8"/>
        <v>539.91</v>
      </c>
      <c r="H320" s="1" t="str">
        <f>_xlfn.XLOOKUP(C320,Product!A:A,Product!B:B,"not found",0)</f>
        <v>Electra Girl's Hawaii 1 (16-inch) - 2015/2016</v>
      </c>
      <c r="I320" s="1">
        <f t="shared" si="9"/>
        <v>539.91</v>
      </c>
    </row>
    <row r="321" spans="1:9" x14ac:dyDescent="0.2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 s="1">
        <f t="shared" si="8"/>
        <v>1199.93</v>
      </c>
      <c r="H321" s="1" t="str">
        <f>_xlfn.XLOOKUP(C321,Product!A:A,Product!B:B,"not found",0)</f>
        <v>Electra Townie Original 7D EQ - 2016</v>
      </c>
      <c r="I321" s="1">
        <f t="shared" si="9"/>
        <v>1199.93</v>
      </c>
    </row>
    <row r="322" spans="1:9" x14ac:dyDescent="0.2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 s="1">
        <f t="shared" si="8"/>
        <v>539.88</v>
      </c>
      <c r="H322" s="1" t="str">
        <f>_xlfn.XLOOKUP(C322,Product!A:A,Product!B:B,"not found",0)</f>
        <v>Electra Girl's Hawaii 1 (16-inch) - 2015/2016</v>
      </c>
      <c r="I322" s="1">
        <f t="shared" si="9"/>
        <v>539.88</v>
      </c>
    </row>
    <row r="323" spans="1:9" x14ac:dyDescent="0.2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 s="1">
        <f t="shared" ref="G323:G386" si="10">(E323*D323)-F323</f>
        <v>469.92</v>
      </c>
      <c r="H323" s="1" t="str">
        <f>_xlfn.XLOOKUP(C323,Product!A:A,Product!B:B,"not found",0)</f>
        <v>Surly Ice Cream Truck Frameset - 2016</v>
      </c>
      <c r="I323" s="1">
        <f t="shared" ref="I323:I386" si="11">(D323*E323)-F323</f>
        <v>469.92</v>
      </c>
    </row>
    <row r="324" spans="1:9" x14ac:dyDescent="0.2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 s="1">
        <f t="shared" si="10"/>
        <v>269.89</v>
      </c>
      <c r="H324" s="1" t="str">
        <f>_xlfn.XLOOKUP(C324,Product!A:A,Product!B:B,"not found",0)</f>
        <v>Electra Girl's Hawaii 1 (16-inch) - 2015/2016</v>
      </c>
      <c r="I324" s="1">
        <f t="shared" si="11"/>
        <v>269.89</v>
      </c>
    </row>
    <row r="325" spans="1:9" x14ac:dyDescent="0.2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 s="1">
        <f t="shared" si="10"/>
        <v>269.89</v>
      </c>
      <c r="H325" s="1" t="str">
        <f>_xlfn.XLOOKUP(C325,Product!A:A,Product!B:B,"not found",0)</f>
        <v>Electra Girl's Hawaii 1 (16-inch) - 2015/2016</v>
      </c>
      <c r="I325" s="1">
        <f t="shared" si="11"/>
        <v>269.89</v>
      </c>
    </row>
    <row r="326" spans="1:9" x14ac:dyDescent="0.2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 s="1">
        <f t="shared" si="10"/>
        <v>1099.9100000000001</v>
      </c>
      <c r="H326" s="1" t="str">
        <f>_xlfn.XLOOKUP(C326,Product!A:A,Product!B:B,"not found",0)</f>
        <v>Electra Townie Original 21D - 2016</v>
      </c>
      <c r="I326" s="1">
        <f t="shared" si="11"/>
        <v>1099.9100000000001</v>
      </c>
    </row>
    <row r="327" spans="1:9" x14ac:dyDescent="0.2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 s="1">
        <f t="shared" si="10"/>
        <v>599.78</v>
      </c>
      <c r="H327" s="1" t="str">
        <f>_xlfn.XLOOKUP(C327,Product!A:A,Product!B:B,"not found",0)</f>
        <v>Electra Girl's Hawaii 1 (20-inch) - 2015/2016</v>
      </c>
      <c r="I327" s="1">
        <f t="shared" si="11"/>
        <v>599.78</v>
      </c>
    </row>
    <row r="328" spans="1:9" x14ac:dyDescent="0.2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 s="1">
        <f t="shared" si="10"/>
        <v>999.91</v>
      </c>
      <c r="H328" s="1" t="str">
        <f>_xlfn.XLOOKUP(C328,Product!A:A,Product!B:B,"not found",0)</f>
        <v>Electra Townie Original 7D - 2015/2016</v>
      </c>
      <c r="I328" s="1">
        <f t="shared" si="11"/>
        <v>999.91</v>
      </c>
    </row>
    <row r="329" spans="1:9" x14ac:dyDescent="0.2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 s="1">
        <f t="shared" si="10"/>
        <v>1099.93</v>
      </c>
      <c r="H329" s="1" t="str">
        <f>_xlfn.XLOOKUP(C329,Product!A:A,Product!B:B,"not found",0)</f>
        <v>Electra Townie Original 21D - 2016</v>
      </c>
      <c r="I329" s="1">
        <f t="shared" si="11"/>
        <v>1099.93</v>
      </c>
    </row>
    <row r="330" spans="1:9" x14ac:dyDescent="0.2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 s="1">
        <f t="shared" si="10"/>
        <v>1320.79</v>
      </c>
      <c r="H330" s="1" t="str">
        <f>_xlfn.XLOOKUP(C330,Product!A:A,Product!B:B,"not found",0)</f>
        <v>Heller Shagamaw Frame - 2016</v>
      </c>
      <c r="I330" s="1">
        <f t="shared" si="11"/>
        <v>1320.79</v>
      </c>
    </row>
    <row r="331" spans="1:9" x14ac:dyDescent="0.2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 s="1">
        <f t="shared" si="10"/>
        <v>1099.9100000000001</v>
      </c>
      <c r="H331" s="1" t="str">
        <f>_xlfn.XLOOKUP(C331,Product!A:A,Product!B:B,"not found",0)</f>
        <v>Electra Townie Original 21D - 2016</v>
      </c>
      <c r="I331" s="1">
        <f t="shared" si="11"/>
        <v>1099.9100000000001</v>
      </c>
    </row>
    <row r="332" spans="1:9" x14ac:dyDescent="0.2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 s="1">
        <f t="shared" si="10"/>
        <v>1099.8800000000001</v>
      </c>
      <c r="H332" s="1" t="str">
        <f>_xlfn.XLOOKUP(C332,Product!A:A,Product!B:B,"not found",0)</f>
        <v>Electra Townie Original 21D - 2016</v>
      </c>
      <c r="I332" s="1">
        <f t="shared" si="11"/>
        <v>1099.8800000000001</v>
      </c>
    </row>
    <row r="333" spans="1:9" x14ac:dyDescent="0.2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 s="1">
        <f t="shared" si="10"/>
        <v>469.92</v>
      </c>
      <c r="H333" s="1" t="str">
        <f>_xlfn.XLOOKUP(C333,Product!A:A,Product!B:B,"not found",0)</f>
        <v>Surly Ice Cream Truck Frameset - 2016</v>
      </c>
      <c r="I333" s="1">
        <f t="shared" si="11"/>
        <v>469.92</v>
      </c>
    </row>
    <row r="334" spans="1:9" x14ac:dyDescent="0.2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 s="1">
        <f t="shared" si="10"/>
        <v>299.79000000000002</v>
      </c>
      <c r="H334" s="1" t="str">
        <f>_xlfn.XLOOKUP(C334,Product!A:A,Product!B:B,"not found",0)</f>
        <v>Electra Girl's Hawaii 1 (20-inch) - 2015/2016</v>
      </c>
      <c r="I334" s="1">
        <f t="shared" si="11"/>
        <v>299.79000000000002</v>
      </c>
    </row>
    <row r="335" spans="1:9" x14ac:dyDescent="0.2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 s="1">
        <f t="shared" si="10"/>
        <v>2641.78</v>
      </c>
      <c r="H335" s="1" t="str">
        <f>_xlfn.XLOOKUP(C335,Product!A:A,Product!B:B,"not found",0)</f>
        <v>Heller Shagamaw Frame - 2016</v>
      </c>
      <c r="I335" s="1">
        <f t="shared" si="11"/>
        <v>2641.78</v>
      </c>
    </row>
    <row r="336" spans="1:9" x14ac:dyDescent="0.2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 s="1">
        <f t="shared" si="10"/>
        <v>549.94000000000005</v>
      </c>
      <c r="H336" s="1" t="str">
        <f>_xlfn.XLOOKUP(C336,Product!A:A,Product!B:B,"not found",0)</f>
        <v>Electra Townie Original 21D - 2016</v>
      </c>
      <c r="I336" s="1">
        <f t="shared" si="11"/>
        <v>549.94000000000005</v>
      </c>
    </row>
    <row r="337" spans="1:9" x14ac:dyDescent="0.2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 s="1">
        <f t="shared" si="10"/>
        <v>749.92</v>
      </c>
      <c r="H337" s="1" t="str">
        <f>_xlfn.XLOOKUP(C337,Product!A:A,Product!B:B,"not found",0)</f>
        <v>Ritchey Timberwolf Frameset - 2016</v>
      </c>
      <c r="I337" s="1">
        <f t="shared" si="11"/>
        <v>749.92</v>
      </c>
    </row>
    <row r="338" spans="1:9" x14ac:dyDescent="0.2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 s="1">
        <f t="shared" si="10"/>
        <v>539.88</v>
      </c>
      <c r="H338" s="1" t="str">
        <f>_xlfn.XLOOKUP(C338,Product!A:A,Product!B:B,"not found",0)</f>
        <v>Electra Cruiser 1 (24-Inch) - 2016</v>
      </c>
      <c r="I338" s="1">
        <f t="shared" si="11"/>
        <v>539.88</v>
      </c>
    </row>
    <row r="339" spans="1:9" x14ac:dyDescent="0.2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 s="1">
        <f t="shared" si="10"/>
        <v>269.79000000000002</v>
      </c>
      <c r="H339" s="1" t="str">
        <f>_xlfn.XLOOKUP(C339,Product!A:A,Product!B:B,"not found",0)</f>
        <v>Electra Girl's Hawaii 1 (16-inch) - 2015/2016</v>
      </c>
      <c r="I339" s="1">
        <f t="shared" si="11"/>
        <v>269.79000000000002</v>
      </c>
    </row>
    <row r="340" spans="1:9" x14ac:dyDescent="0.2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 s="1">
        <f t="shared" si="10"/>
        <v>448.9</v>
      </c>
      <c r="H340" s="1" t="str">
        <f>_xlfn.XLOOKUP(C340,Product!A:A,Product!B:B,"not found",0)</f>
        <v>Pure Cycles William 3-Speed - 2016</v>
      </c>
      <c r="I340" s="1">
        <f t="shared" si="11"/>
        <v>448.9</v>
      </c>
    </row>
    <row r="341" spans="1:9" x14ac:dyDescent="0.2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 s="1">
        <f t="shared" si="10"/>
        <v>599.94000000000005</v>
      </c>
      <c r="H341" s="1" t="str">
        <f>_xlfn.XLOOKUP(C341,Product!A:A,Product!B:B,"not found",0)</f>
        <v>Electra Townie Original 7D EQ - 2016</v>
      </c>
      <c r="I341" s="1">
        <f t="shared" si="11"/>
        <v>599.94000000000005</v>
      </c>
    </row>
    <row r="342" spans="1:9" x14ac:dyDescent="0.2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 s="1">
        <f t="shared" si="10"/>
        <v>539.78</v>
      </c>
      <c r="H342" s="1" t="str">
        <f>_xlfn.XLOOKUP(C342,Product!A:A,Product!B:B,"not found",0)</f>
        <v>Electra Girl's Hawaii 1 (16-inch) - 2015/2016</v>
      </c>
      <c r="I342" s="1">
        <f t="shared" si="11"/>
        <v>539.78</v>
      </c>
    </row>
    <row r="343" spans="1:9" x14ac:dyDescent="0.2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 s="1">
        <f t="shared" si="10"/>
        <v>599.94000000000005</v>
      </c>
      <c r="H343" s="1" t="str">
        <f>_xlfn.XLOOKUP(C343,Product!A:A,Product!B:B,"not found",0)</f>
        <v>Electra Townie Original 7D EQ - 2016</v>
      </c>
      <c r="I343" s="1">
        <f t="shared" si="11"/>
        <v>599.94000000000005</v>
      </c>
    </row>
    <row r="344" spans="1:9" x14ac:dyDescent="0.2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 s="1">
        <f t="shared" si="10"/>
        <v>269.79000000000002</v>
      </c>
      <c r="H344" s="1" t="str">
        <f>_xlfn.XLOOKUP(C344,Product!A:A,Product!B:B,"not found",0)</f>
        <v>Electra Girl's Hawaii 1 (16-inch) - 2015/2016</v>
      </c>
      <c r="I344" s="1">
        <f t="shared" si="11"/>
        <v>269.79000000000002</v>
      </c>
    </row>
    <row r="345" spans="1:9" x14ac:dyDescent="0.2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 s="1">
        <f t="shared" si="10"/>
        <v>448.95</v>
      </c>
      <c r="H345" s="1" t="str">
        <f>_xlfn.XLOOKUP(C345,Product!A:A,Product!B:B,"not found",0)</f>
        <v>Pure Cycles William 3-Speed - 2016</v>
      </c>
      <c r="I345" s="1">
        <f t="shared" si="11"/>
        <v>448.95</v>
      </c>
    </row>
    <row r="346" spans="1:9" x14ac:dyDescent="0.2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 s="1">
        <f t="shared" si="10"/>
        <v>448.93</v>
      </c>
      <c r="H346" s="1" t="str">
        <f>_xlfn.XLOOKUP(C346,Product!A:A,Product!B:B,"not found",0)</f>
        <v>Pure Cycles Western 3-Speed - Women's - 2015/2016</v>
      </c>
      <c r="I346" s="1">
        <f t="shared" si="11"/>
        <v>448.93</v>
      </c>
    </row>
    <row r="347" spans="1:9" x14ac:dyDescent="0.2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 s="1">
        <f t="shared" si="10"/>
        <v>2899.9199999999996</v>
      </c>
      <c r="H347" s="1" t="str">
        <f>_xlfn.XLOOKUP(C347,Product!A:A,Product!B:B,"not found",0)</f>
        <v>Trek Fuel EX 8 29 - 2016</v>
      </c>
      <c r="I347" s="1">
        <f t="shared" si="11"/>
        <v>2899.9199999999996</v>
      </c>
    </row>
    <row r="348" spans="1:9" x14ac:dyDescent="0.2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 s="1">
        <f t="shared" si="10"/>
        <v>469.92</v>
      </c>
      <c r="H348" s="1" t="str">
        <f>_xlfn.XLOOKUP(C348,Product!A:A,Product!B:B,"not found",0)</f>
        <v>Surly Ice Cream Truck Frameset - 2016</v>
      </c>
      <c r="I348" s="1">
        <f t="shared" si="11"/>
        <v>469.92</v>
      </c>
    </row>
    <row r="349" spans="1:9" x14ac:dyDescent="0.2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 s="1">
        <f t="shared" si="10"/>
        <v>1999.88</v>
      </c>
      <c r="H349" s="1" t="str">
        <f>_xlfn.XLOOKUP(C349,Product!A:A,Product!B:B,"not found",0)</f>
        <v>Surly Wednesday Frameset - 2016</v>
      </c>
      <c r="I349" s="1">
        <f t="shared" si="11"/>
        <v>1999.88</v>
      </c>
    </row>
    <row r="350" spans="1:9" x14ac:dyDescent="0.2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 s="1">
        <f t="shared" si="10"/>
        <v>599.91</v>
      </c>
      <c r="H350" s="1" t="str">
        <f>_xlfn.XLOOKUP(C350,Product!A:A,Product!B:B,"not found",0)</f>
        <v>Electra Girl's Hawaii 1 (20-inch) - 2015/2016</v>
      </c>
      <c r="I350" s="1">
        <f t="shared" si="11"/>
        <v>599.91</v>
      </c>
    </row>
    <row r="351" spans="1:9" x14ac:dyDescent="0.2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 s="1">
        <f t="shared" si="10"/>
        <v>499.94</v>
      </c>
      <c r="H351" s="1" t="str">
        <f>_xlfn.XLOOKUP(C351,Product!A:A,Product!B:B,"not found",0)</f>
        <v>Electra Townie Original 7D - 2015/2016</v>
      </c>
      <c r="I351" s="1">
        <f t="shared" si="11"/>
        <v>499.94</v>
      </c>
    </row>
    <row r="352" spans="1:9" x14ac:dyDescent="0.2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 s="1">
        <f t="shared" si="10"/>
        <v>539.93000000000006</v>
      </c>
      <c r="H352" s="1" t="str">
        <f>_xlfn.XLOOKUP(C352,Product!A:A,Product!B:B,"not found",0)</f>
        <v>Electra Cruiser 1 (24-Inch) - 2016</v>
      </c>
      <c r="I352" s="1">
        <f t="shared" si="11"/>
        <v>539.93000000000006</v>
      </c>
    </row>
    <row r="353" spans="1:9" x14ac:dyDescent="0.2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 s="1">
        <f t="shared" si="10"/>
        <v>939.93000000000006</v>
      </c>
      <c r="H353" s="1" t="str">
        <f>_xlfn.XLOOKUP(C353,Product!A:A,Product!B:B,"not found",0)</f>
        <v>Surly Ice Cream Truck Frameset - 2016</v>
      </c>
      <c r="I353" s="1">
        <f t="shared" si="11"/>
        <v>939.93000000000006</v>
      </c>
    </row>
    <row r="354" spans="1:9" x14ac:dyDescent="0.2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 s="1">
        <f t="shared" si="10"/>
        <v>3097.95</v>
      </c>
      <c r="H354" s="1" t="str">
        <f>_xlfn.XLOOKUP(C354,Product!A:A,Product!B:B,"not found",0)</f>
        <v>Surly Straggler - 2016</v>
      </c>
      <c r="I354" s="1">
        <f t="shared" si="11"/>
        <v>3097.95</v>
      </c>
    </row>
    <row r="355" spans="1:9" x14ac:dyDescent="0.2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 s="1">
        <f t="shared" si="10"/>
        <v>428.95</v>
      </c>
      <c r="H355" s="1" t="str">
        <f>_xlfn.XLOOKUP(C355,Product!A:A,Product!B:B,"not found",0)</f>
        <v>Pure Cycles Vine 8-Speed - 2016</v>
      </c>
      <c r="I355" s="1">
        <f t="shared" si="11"/>
        <v>428.95</v>
      </c>
    </row>
    <row r="356" spans="1:9" x14ac:dyDescent="0.2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 s="1">
        <f t="shared" si="10"/>
        <v>1199.78</v>
      </c>
      <c r="H356" s="1" t="str">
        <f>_xlfn.XLOOKUP(C356,Product!A:A,Product!B:B,"not found",0)</f>
        <v>Electra Townie Original 7D EQ - 2016</v>
      </c>
      <c r="I356" s="1">
        <f t="shared" si="11"/>
        <v>1199.78</v>
      </c>
    </row>
    <row r="357" spans="1:9" x14ac:dyDescent="0.2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 s="1">
        <f t="shared" si="10"/>
        <v>1320.79</v>
      </c>
      <c r="H357" s="1" t="str">
        <f>_xlfn.XLOOKUP(C357,Product!A:A,Product!B:B,"not found",0)</f>
        <v>Heller Shagamaw Frame - 2016</v>
      </c>
      <c r="I357" s="1">
        <f t="shared" si="11"/>
        <v>1320.79</v>
      </c>
    </row>
    <row r="358" spans="1:9" x14ac:dyDescent="0.2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 s="1">
        <f t="shared" si="10"/>
        <v>539.88</v>
      </c>
      <c r="H358" s="1" t="str">
        <f>_xlfn.XLOOKUP(C358,Product!A:A,Product!B:B,"not found",0)</f>
        <v>Electra Girl's Hawaii 1 (16-inch) - 2015/2016</v>
      </c>
      <c r="I358" s="1">
        <f t="shared" si="11"/>
        <v>539.88</v>
      </c>
    </row>
    <row r="359" spans="1:9" x14ac:dyDescent="0.2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 s="1">
        <f t="shared" si="10"/>
        <v>5799.8799999999992</v>
      </c>
      <c r="H359" s="1" t="str">
        <f>_xlfn.XLOOKUP(C359,Product!A:A,Product!B:B,"not found",0)</f>
        <v>Trek Fuel EX 8 29 - 2016</v>
      </c>
      <c r="I359" s="1">
        <f t="shared" si="11"/>
        <v>5799.8799999999992</v>
      </c>
    </row>
    <row r="360" spans="1:9" x14ac:dyDescent="0.2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 s="1">
        <f t="shared" si="10"/>
        <v>1099.9100000000001</v>
      </c>
      <c r="H360" s="1" t="str">
        <f>_xlfn.XLOOKUP(C360,Product!A:A,Product!B:B,"not found",0)</f>
        <v>Electra Townie Original 21D - 2016</v>
      </c>
      <c r="I360" s="1">
        <f t="shared" si="11"/>
        <v>1099.9100000000001</v>
      </c>
    </row>
    <row r="361" spans="1:9" x14ac:dyDescent="0.2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 s="1">
        <f t="shared" si="10"/>
        <v>1499.93</v>
      </c>
      <c r="H361" s="1" t="str">
        <f>_xlfn.XLOOKUP(C361,Product!A:A,Product!B:B,"not found",0)</f>
        <v>Ritchey Timberwolf Frameset - 2016</v>
      </c>
      <c r="I361" s="1">
        <f t="shared" si="11"/>
        <v>1499.93</v>
      </c>
    </row>
    <row r="362" spans="1:9" x14ac:dyDescent="0.2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 s="1">
        <f t="shared" si="10"/>
        <v>599.89</v>
      </c>
      <c r="H362" s="1" t="str">
        <f>_xlfn.XLOOKUP(C362,Product!A:A,Product!B:B,"not found",0)</f>
        <v>Electra Townie Original 7D EQ - 2016</v>
      </c>
      <c r="I362" s="1">
        <f t="shared" si="11"/>
        <v>599.89</v>
      </c>
    </row>
    <row r="363" spans="1:9" x14ac:dyDescent="0.2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 s="1">
        <f t="shared" si="10"/>
        <v>1099.8800000000001</v>
      </c>
      <c r="H363" s="1" t="str">
        <f>_xlfn.XLOOKUP(C363,Product!A:A,Product!B:B,"not found",0)</f>
        <v>Electra Townie Original 21D - 2016</v>
      </c>
      <c r="I363" s="1">
        <f t="shared" si="11"/>
        <v>1099.8800000000001</v>
      </c>
    </row>
    <row r="364" spans="1:9" x14ac:dyDescent="0.2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 s="1">
        <f t="shared" si="10"/>
        <v>599.94000000000005</v>
      </c>
      <c r="H364" s="1" t="str">
        <f>_xlfn.XLOOKUP(C364,Product!A:A,Product!B:B,"not found",0)</f>
        <v>Electra Townie Original 7D EQ - 2016</v>
      </c>
      <c r="I364" s="1">
        <f t="shared" si="11"/>
        <v>599.94000000000005</v>
      </c>
    </row>
    <row r="365" spans="1:9" x14ac:dyDescent="0.2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 s="1">
        <f t="shared" si="10"/>
        <v>2899.9199999999996</v>
      </c>
      <c r="H365" s="1" t="str">
        <f>_xlfn.XLOOKUP(C365,Product!A:A,Product!B:B,"not found",0)</f>
        <v>Trek Fuel EX 8 29 - 2016</v>
      </c>
      <c r="I365" s="1">
        <f t="shared" si="11"/>
        <v>2899.9199999999996</v>
      </c>
    </row>
    <row r="366" spans="1:9" x14ac:dyDescent="0.2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 s="1">
        <f t="shared" si="10"/>
        <v>7999.9299999999994</v>
      </c>
      <c r="H366" s="1" t="str">
        <f>_xlfn.XLOOKUP(C366,Product!A:A,Product!B:B,"not found",0)</f>
        <v>Trek Slash 8 27.5 - 2016</v>
      </c>
      <c r="I366" s="1">
        <f t="shared" si="11"/>
        <v>7999.9299999999994</v>
      </c>
    </row>
    <row r="367" spans="1:9" x14ac:dyDescent="0.2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 s="1">
        <f t="shared" si="10"/>
        <v>428.9</v>
      </c>
      <c r="H367" s="1" t="str">
        <f>_xlfn.XLOOKUP(C367,Product!A:A,Product!B:B,"not found",0)</f>
        <v>Pure Cycles Vine 8-Speed - 2016</v>
      </c>
      <c r="I367" s="1">
        <f t="shared" si="11"/>
        <v>428.9</v>
      </c>
    </row>
    <row r="368" spans="1:9" x14ac:dyDescent="0.2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 s="1">
        <f t="shared" si="10"/>
        <v>5999.9299999999994</v>
      </c>
      <c r="H368" s="1" t="str">
        <f>_xlfn.XLOOKUP(C368,Product!A:A,Product!B:B,"not found",0)</f>
        <v>Trek Conduit+ - 2016</v>
      </c>
      <c r="I368" s="1">
        <f t="shared" si="11"/>
        <v>5999.9299999999994</v>
      </c>
    </row>
    <row r="369" spans="1:9" x14ac:dyDescent="0.2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 s="1">
        <f t="shared" si="10"/>
        <v>428.93</v>
      </c>
      <c r="H369" s="1" t="str">
        <f>_xlfn.XLOOKUP(C369,Product!A:A,Product!B:B,"not found",0)</f>
        <v>Pure Cycles Vine 8-Speed - 2016</v>
      </c>
      <c r="I369" s="1">
        <f t="shared" si="11"/>
        <v>428.93</v>
      </c>
    </row>
    <row r="370" spans="1:9" x14ac:dyDescent="0.2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 s="1">
        <f t="shared" si="10"/>
        <v>599.89</v>
      </c>
      <c r="H370" s="1" t="str">
        <f>_xlfn.XLOOKUP(C370,Product!A:A,Product!B:B,"not found",0)</f>
        <v>Electra Townie Original 7D EQ - Women's - 2016</v>
      </c>
      <c r="I370" s="1">
        <f t="shared" si="11"/>
        <v>599.89</v>
      </c>
    </row>
    <row r="371" spans="1:9" x14ac:dyDescent="0.2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 s="1">
        <f t="shared" si="10"/>
        <v>5799.91</v>
      </c>
      <c r="H371" s="1" t="str">
        <f>_xlfn.XLOOKUP(C371,Product!A:A,Product!B:B,"not found",0)</f>
        <v>Trek Fuel EX 8 29 - 2016</v>
      </c>
      <c r="I371" s="1">
        <f t="shared" si="11"/>
        <v>5799.91</v>
      </c>
    </row>
    <row r="372" spans="1:9" x14ac:dyDescent="0.2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 s="1">
        <f t="shared" si="10"/>
        <v>1099.8800000000001</v>
      </c>
      <c r="H372" s="1" t="str">
        <f>_xlfn.XLOOKUP(C372,Product!A:A,Product!B:B,"not found",0)</f>
        <v>Electra Townie Original 21D - 2016</v>
      </c>
      <c r="I372" s="1">
        <f t="shared" si="11"/>
        <v>1099.8800000000001</v>
      </c>
    </row>
    <row r="373" spans="1:9" x14ac:dyDescent="0.2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 s="1">
        <f t="shared" si="10"/>
        <v>1199.8800000000001</v>
      </c>
      <c r="H373" s="1" t="str">
        <f>_xlfn.XLOOKUP(C373,Product!A:A,Product!B:B,"not found",0)</f>
        <v>Electra Townie Original 7D EQ - 2016</v>
      </c>
      <c r="I373" s="1">
        <f t="shared" si="11"/>
        <v>1199.8800000000001</v>
      </c>
    </row>
    <row r="374" spans="1:9" x14ac:dyDescent="0.2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 s="1">
        <f t="shared" si="10"/>
        <v>5799.78</v>
      </c>
      <c r="H374" s="1" t="str">
        <f>_xlfn.XLOOKUP(C374,Product!A:A,Product!B:B,"not found",0)</f>
        <v>Trek Fuel EX 8 29 - 2016</v>
      </c>
      <c r="I374" s="1">
        <f t="shared" si="11"/>
        <v>5799.78</v>
      </c>
    </row>
    <row r="375" spans="1:9" x14ac:dyDescent="0.2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 s="1">
        <f t="shared" si="10"/>
        <v>1999.78</v>
      </c>
      <c r="H375" s="1" t="str">
        <f>_xlfn.XLOOKUP(C375,Product!A:A,Product!B:B,"not found",0)</f>
        <v>Surly Wednesday Frameset - 2016</v>
      </c>
      <c r="I375" s="1">
        <f t="shared" si="11"/>
        <v>1999.78</v>
      </c>
    </row>
    <row r="376" spans="1:9" x14ac:dyDescent="0.2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 s="1">
        <f t="shared" si="10"/>
        <v>448.9</v>
      </c>
      <c r="H376" s="1" t="str">
        <f>_xlfn.XLOOKUP(C376,Product!A:A,Product!B:B,"not found",0)</f>
        <v>Pure Cycles Western 3-Speed - Women's - 2015/2016</v>
      </c>
      <c r="I376" s="1">
        <f t="shared" si="11"/>
        <v>448.9</v>
      </c>
    </row>
    <row r="377" spans="1:9" x14ac:dyDescent="0.2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 s="1">
        <f t="shared" si="10"/>
        <v>2999.89</v>
      </c>
      <c r="H377" s="1" t="str">
        <f>_xlfn.XLOOKUP(C377,Product!A:A,Product!B:B,"not found",0)</f>
        <v>Trek Conduit+ - 2016</v>
      </c>
      <c r="I377" s="1">
        <f t="shared" si="11"/>
        <v>2999.89</v>
      </c>
    </row>
    <row r="378" spans="1:9" x14ac:dyDescent="0.2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 s="1">
        <f t="shared" si="10"/>
        <v>599.94000000000005</v>
      </c>
      <c r="H378" s="1" t="str">
        <f>_xlfn.XLOOKUP(C378,Product!A:A,Product!B:B,"not found",0)</f>
        <v>Electra Townie Original 7D EQ - 2016</v>
      </c>
      <c r="I378" s="1">
        <f t="shared" si="11"/>
        <v>599.94000000000005</v>
      </c>
    </row>
    <row r="379" spans="1:9" x14ac:dyDescent="0.2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 s="1">
        <f t="shared" si="10"/>
        <v>2641.91</v>
      </c>
      <c r="H379" s="1" t="str">
        <f>_xlfn.XLOOKUP(C379,Product!A:A,Product!B:B,"not found",0)</f>
        <v>Heller Shagamaw Frame - 2016</v>
      </c>
      <c r="I379" s="1">
        <f t="shared" si="11"/>
        <v>2641.91</v>
      </c>
    </row>
    <row r="380" spans="1:9" x14ac:dyDescent="0.2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 s="1">
        <f t="shared" si="10"/>
        <v>539.78</v>
      </c>
      <c r="H380" s="1" t="str">
        <f>_xlfn.XLOOKUP(C380,Product!A:A,Product!B:B,"not found",0)</f>
        <v>Electra Girl's Hawaii 1 (16-inch) - 2015/2016</v>
      </c>
      <c r="I380" s="1">
        <f t="shared" si="11"/>
        <v>539.78</v>
      </c>
    </row>
    <row r="381" spans="1:9" x14ac:dyDescent="0.2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 s="1">
        <f t="shared" si="10"/>
        <v>5799.91</v>
      </c>
      <c r="H381" s="1" t="str">
        <f>_xlfn.XLOOKUP(C381,Product!A:A,Product!B:B,"not found",0)</f>
        <v>Trek Fuel EX 8 29 - 2016</v>
      </c>
      <c r="I381" s="1">
        <f t="shared" si="11"/>
        <v>5799.91</v>
      </c>
    </row>
    <row r="382" spans="1:9" x14ac:dyDescent="0.2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 s="1">
        <f t="shared" si="10"/>
        <v>1099.8800000000001</v>
      </c>
      <c r="H382" s="1" t="str">
        <f>_xlfn.XLOOKUP(C382,Product!A:A,Product!B:B,"not found",0)</f>
        <v>Electra Townie Original 21D - 2016</v>
      </c>
      <c r="I382" s="1">
        <f t="shared" si="11"/>
        <v>1099.8800000000001</v>
      </c>
    </row>
    <row r="383" spans="1:9" x14ac:dyDescent="0.2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 s="1">
        <f t="shared" si="10"/>
        <v>1499.93</v>
      </c>
      <c r="H383" s="1" t="str">
        <f>_xlfn.XLOOKUP(C383,Product!A:A,Product!B:B,"not found",0)</f>
        <v>Ritchey Timberwolf Frameset - 2016</v>
      </c>
      <c r="I383" s="1">
        <f t="shared" si="11"/>
        <v>1499.93</v>
      </c>
    </row>
    <row r="384" spans="1:9" x14ac:dyDescent="0.2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 s="1">
        <f t="shared" si="10"/>
        <v>599.94000000000005</v>
      </c>
      <c r="H384" s="1" t="str">
        <f>_xlfn.XLOOKUP(C384,Product!A:A,Product!B:B,"not found",0)</f>
        <v>Electra Townie Original 7D EQ - Women's - 2016</v>
      </c>
      <c r="I384" s="1">
        <f t="shared" si="11"/>
        <v>599.94000000000005</v>
      </c>
    </row>
    <row r="385" spans="1:9" x14ac:dyDescent="0.2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 s="1">
        <f t="shared" si="10"/>
        <v>2999.89</v>
      </c>
      <c r="H385" s="1" t="str">
        <f>_xlfn.XLOOKUP(C385,Product!A:A,Product!B:B,"not found",0)</f>
        <v>Trek Conduit+ - 2016</v>
      </c>
      <c r="I385" s="1">
        <f t="shared" si="11"/>
        <v>2999.89</v>
      </c>
    </row>
    <row r="386" spans="1:9" x14ac:dyDescent="0.2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 s="1">
        <f t="shared" si="10"/>
        <v>539.93000000000006</v>
      </c>
      <c r="H386" s="1" t="str">
        <f>_xlfn.XLOOKUP(C386,Product!A:A,Product!B:B,"not found",0)</f>
        <v>Electra Cruiser 1 (24-Inch) - 2016</v>
      </c>
      <c r="I386" s="1">
        <f t="shared" si="11"/>
        <v>539.93000000000006</v>
      </c>
    </row>
    <row r="387" spans="1:9" x14ac:dyDescent="0.2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 s="1">
        <f t="shared" ref="G387:G450" si="12">(E387*D387)-F387</f>
        <v>269.79000000000002</v>
      </c>
      <c r="H387" s="1" t="str">
        <f>_xlfn.XLOOKUP(C387,Product!A:A,Product!B:B,"not found",0)</f>
        <v>Electra Girl's Hawaii 1 (16-inch) - 2015/2016</v>
      </c>
      <c r="I387" s="1">
        <f t="shared" ref="I387:I450" si="13">(D387*E387)-F387</f>
        <v>269.79000000000002</v>
      </c>
    </row>
    <row r="388" spans="1:9" x14ac:dyDescent="0.2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 s="1">
        <f t="shared" si="12"/>
        <v>897.9</v>
      </c>
      <c r="H388" s="1" t="str">
        <f>_xlfn.XLOOKUP(C388,Product!A:A,Product!B:B,"not found",0)</f>
        <v>Pure Cycles William 3-Speed - 2016</v>
      </c>
      <c r="I388" s="1">
        <f t="shared" si="13"/>
        <v>897.9</v>
      </c>
    </row>
    <row r="389" spans="1:9" x14ac:dyDescent="0.2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 s="1">
        <f t="shared" si="12"/>
        <v>1499.91</v>
      </c>
      <c r="H389" s="1" t="str">
        <f>_xlfn.XLOOKUP(C389,Product!A:A,Product!B:B,"not found",0)</f>
        <v>Ritchey Timberwolf Frameset - 2016</v>
      </c>
      <c r="I389" s="1">
        <f t="shared" si="13"/>
        <v>1499.91</v>
      </c>
    </row>
    <row r="390" spans="1:9" x14ac:dyDescent="0.2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 s="1">
        <f t="shared" si="12"/>
        <v>897.93</v>
      </c>
      <c r="H390" s="1" t="str">
        <f>_xlfn.XLOOKUP(C390,Product!A:A,Product!B:B,"not found",0)</f>
        <v>Pure Cycles Western 3-Speed - Women's - 2015/2016</v>
      </c>
      <c r="I390" s="1">
        <f t="shared" si="13"/>
        <v>897.93</v>
      </c>
    </row>
    <row r="391" spans="1:9" x14ac:dyDescent="0.2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 s="1">
        <f t="shared" si="12"/>
        <v>2641.93</v>
      </c>
      <c r="H391" s="1" t="str">
        <f>_xlfn.XLOOKUP(C391,Product!A:A,Product!B:B,"not found",0)</f>
        <v>Heller Shagamaw Frame - 2016</v>
      </c>
      <c r="I391" s="1">
        <f t="shared" si="13"/>
        <v>2641.93</v>
      </c>
    </row>
    <row r="392" spans="1:9" x14ac:dyDescent="0.2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 s="1">
        <f t="shared" si="12"/>
        <v>897.95</v>
      </c>
      <c r="H392" s="1" t="str">
        <f>_xlfn.XLOOKUP(C392,Product!A:A,Product!B:B,"not found",0)</f>
        <v>Pure Cycles Western 3-Speed - Women's - 2015/2016</v>
      </c>
      <c r="I392" s="1">
        <f t="shared" si="13"/>
        <v>897.95</v>
      </c>
    </row>
    <row r="393" spans="1:9" x14ac:dyDescent="0.2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 s="1">
        <f t="shared" si="12"/>
        <v>499.79</v>
      </c>
      <c r="H393" s="1" t="str">
        <f>_xlfn.XLOOKUP(C393,Product!A:A,Product!B:B,"not found",0)</f>
        <v>Electra Townie Original 7D - 2015/2016</v>
      </c>
      <c r="I393" s="1">
        <f t="shared" si="13"/>
        <v>499.79</v>
      </c>
    </row>
    <row r="394" spans="1:9" x14ac:dyDescent="0.2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 s="1">
        <f t="shared" si="12"/>
        <v>749.94</v>
      </c>
      <c r="H394" s="1" t="str">
        <f>_xlfn.XLOOKUP(C394,Product!A:A,Product!B:B,"not found",0)</f>
        <v>Ritchey Timberwolf Frameset - 2016</v>
      </c>
      <c r="I394" s="1">
        <f t="shared" si="13"/>
        <v>749.94</v>
      </c>
    </row>
    <row r="395" spans="1:9" x14ac:dyDescent="0.2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 s="1">
        <f t="shared" si="12"/>
        <v>7999.78</v>
      </c>
      <c r="H395" s="1" t="str">
        <f>_xlfn.XLOOKUP(C395,Product!A:A,Product!B:B,"not found",0)</f>
        <v>Trek Slash 8 27.5 - 2016</v>
      </c>
      <c r="I395" s="1">
        <f t="shared" si="13"/>
        <v>7999.78</v>
      </c>
    </row>
    <row r="396" spans="1:9" x14ac:dyDescent="0.2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 s="1">
        <f t="shared" si="12"/>
        <v>1999.93</v>
      </c>
      <c r="H396" s="1" t="str">
        <f>_xlfn.XLOOKUP(C396,Product!A:A,Product!B:B,"not found",0)</f>
        <v>Surly Wednesday Frameset - 2016</v>
      </c>
      <c r="I396" s="1">
        <f t="shared" si="13"/>
        <v>1999.93</v>
      </c>
    </row>
    <row r="397" spans="1:9" x14ac:dyDescent="0.2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 s="1">
        <f t="shared" si="12"/>
        <v>299.92</v>
      </c>
      <c r="H397" s="1" t="str">
        <f>_xlfn.XLOOKUP(C397,Product!A:A,Product!B:B,"not found",0)</f>
        <v>Electra Girl's Hawaii 1 (20-inch) - 2015/2016</v>
      </c>
      <c r="I397" s="1">
        <f t="shared" si="13"/>
        <v>299.92</v>
      </c>
    </row>
    <row r="398" spans="1:9" x14ac:dyDescent="0.2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 s="1">
        <f t="shared" si="12"/>
        <v>269.89</v>
      </c>
      <c r="H398" s="1" t="str">
        <f>_xlfn.XLOOKUP(C398,Product!A:A,Product!B:B,"not found",0)</f>
        <v>Electra Girl's Hawaii 1 (16-inch) - 2015/2016</v>
      </c>
      <c r="I398" s="1">
        <f t="shared" si="13"/>
        <v>269.89</v>
      </c>
    </row>
    <row r="399" spans="1:9" x14ac:dyDescent="0.2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 s="1">
        <f t="shared" si="12"/>
        <v>1199.8800000000001</v>
      </c>
      <c r="H399" s="1" t="str">
        <f>_xlfn.XLOOKUP(C399,Product!A:A,Product!B:B,"not found",0)</f>
        <v>Electra Townie Original 7D EQ - 2016</v>
      </c>
      <c r="I399" s="1">
        <f t="shared" si="13"/>
        <v>1199.8800000000001</v>
      </c>
    </row>
    <row r="400" spans="1:9" x14ac:dyDescent="0.2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 s="1">
        <f t="shared" si="12"/>
        <v>469.79</v>
      </c>
      <c r="H400" s="1" t="str">
        <f>_xlfn.XLOOKUP(C400,Product!A:A,Product!B:B,"not found",0)</f>
        <v>Surly Ice Cream Truck Frameset - 2016</v>
      </c>
      <c r="I400" s="1">
        <f t="shared" si="13"/>
        <v>469.79</v>
      </c>
    </row>
    <row r="401" spans="1:9" x14ac:dyDescent="0.2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 s="1">
        <f t="shared" si="12"/>
        <v>897.93</v>
      </c>
      <c r="H401" s="1" t="str">
        <f>_xlfn.XLOOKUP(C401,Product!A:A,Product!B:B,"not found",0)</f>
        <v>Pure Cycles William 3-Speed - 2016</v>
      </c>
      <c r="I401" s="1">
        <f t="shared" si="13"/>
        <v>897.93</v>
      </c>
    </row>
    <row r="402" spans="1:9" x14ac:dyDescent="0.2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 s="1">
        <f t="shared" si="12"/>
        <v>999.92</v>
      </c>
      <c r="H402" s="1" t="str">
        <f>_xlfn.XLOOKUP(C402,Product!A:A,Product!B:B,"not found",0)</f>
        <v>Surly Wednesday Frameset - 2016</v>
      </c>
      <c r="I402" s="1">
        <f t="shared" si="13"/>
        <v>999.92</v>
      </c>
    </row>
    <row r="403" spans="1:9" x14ac:dyDescent="0.2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 s="1">
        <f t="shared" si="12"/>
        <v>529.79</v>
      </c>
      <c r="H403" s="1" t="str">
        <f>_xlfn.XLOOKUP(C403,Product!A:A,Product!B:B,"not found",0)</f>
        <v>Electra Moto 1 - 2016</v>
      </c>
      <c r="I403" s="1">
        <f t="shared" si="13"/>
        <v>529.79</v>
      </c>
    </row>
    <row r="404" spans="1:9" x14ac:dyDescent="0.2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 s="1">
        <f t="shared" si="12"/>
        <v>269.79000000000002</v>
      </c>
      <c r="H404" s="1" t="str">
        <f>_xlfn.XLOOKUP(C404,Product!A:A,Product!B:B,"not found",0)</f>
        <v>Electra Cruiser 1 (24-Inch) - 2016</v>
      </c>
      <c r="I404" s="1">
        <f t="shared" si="13"/>
        <v>269.79000000000002</v>
      </c>
    </row>
    <row r="405" spans="1:9" x14ac:dyDescent="0.2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 s="1">
        <f t="shared" si="12"/>
        <v>1099.78</v>
      </c>
      <c r="H405" s="1" t="str">
        <f>_xlfn.XLOOKUP(C405,Product!A:A,Product!B:B,"not found",0)</f>
        <v>Electra Townie Original 21D - 2016</v>
      </c>
      <c r="I405" s="1">
        <f t="shared" si="13"/>
        <v>1099.78</v>
      </c>
    </row>
    <row r="406" spans="1:9" x14ac:dyDescent="0.2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 s="1">
        <f t="shared" si="12"/>
        <v>999.94</v>
      </c>
      <c r="H406" s="1" t="str">
        <f>_xlfn.XLOOKUP(C406,Product!A:A,Product!B:B,"not found",0)</f>
        <v>Surly Wednesday Frameset - 2016</v>
      </c>
      <c r="I406" s="1">
        <f t="shared" si="13"/>
        <v>999.94</v>
      </c>
    </row>
    <row r="407" spans="1:9" x14ac:dyDescent="0.2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 s="1">
        <f t="shared" si="12"/>
        <v>448.8</v>
      </c>
      <c r="H407" s="1" t="str">
        <f>_xlfn.XLOOKUP(C407,Product!A:A,Product!B:B,"not found",0)</f>
        <v>Pure Cycles Western 3-Speed - Women's - 2015/2016</v>
      </c>
      <c r="I407" s="1">
        <f t="shared" si="13"/>
        <v>448.8</v>
      </c>
    </row>
    <row r="408" spans="1:9" x14ac:dyDescent="0.2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 s="1">
        <f t="shared" si="12"/>
        <v>1199.8800000000001</v>
      </c>
      <c r="H408" s="1" t="str">
        <f>_xlfn.XLOOKUP(C408,Product!A:A,Product!B:B,"not found",0)</f>
        <v>Electra Townie Original 7D EQ - 2016</v>
      </c>
      <c r="I408" s="1">
        <f t="shared" si="13"/>
        <v>1199.8800000000001</v>
      </c>
    </row>
    <row r="409" spans="1:9" x14ac:dyDescent="0.2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 s="1">
        <f t="shared" si="12"/>
        <v>3361.88</v>
      </c>
      <c r="H409" s="1" t="str">
        <f>_xlfn.XLOOKUP(C409,Product!A:A,Product!B:B,"not found",0)</f>
        <v>Surly Straggler 650b - 2016</v>
      </c>
      <c r="I409" s="1">
        <f t="shared" si="13"/>
        <v>3361.88</v>
      </c>
    </row>
    <row r="410" spans="1:9" x14ac:dyDescent="0.2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 s="1">
        <f t="shared" si="12"/>
        <v>448.93</v>
      </c>
      <c r="H410" s="1" t="str">
        <f>_xlfn.XLOOKUP(C410,Product!A:A,Product!B:B,"not found",0)</f>
        <v>Pure Cycles William 3-Speed - 2016</v>
      </c>
      <c r="I410" s="1">
        <f t="shared" si="13"/>
        <v>448.93</v>
      </c>
    </row>
    <row r="411" spans="1:9" x14ac:dyDescent="0.2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 s="1">
        <f t="shared" si="12"/>
        <v>469.79</v>
      </c>
      <c r="H411" s="1" t="str">
        <f>_xlfn.XLOOKUP(C411,Product!A:A,Product!B:B,"not found",0)</f>
        <v>Surly Ice Cream Truck Frameset - 2016</v>
      </c>
      <c r="I411" s="1">
        <f t="shared" si="13"/>
        <v>469.79</v>
      </c>
    </row>
    <row r="412" spans="1:9" x14ac:dyDescent="0.2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 s="1">
        <f t="shared" si="12"/>
        <v>3599.93</v>
      </c>
      <c r="H412" s="1" t="str">
        <f>_xlfn.XLOOKUP(C412,Product!A:A,Product!B:B,"not found",0)</f>
        <v>Trek Remedy 29 Carbon Frameset - 2016</v>
      </c>
      <c r="I412" s="1">
        <f t="shared" si="13"/>
        <v>3599.93</v>
      </c>
    </row>
    <row r="413" spans="1:9" x14ac:dyDescent="0.2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 s="1">
        <f t="shared" si="12"/>
        <v>1680.79</v>
      </c>
      <c r="H413" s="1" t="str">
        <f>_xlfn.XLOOKUP(C413,Product!A:A,Product!B:B,"not found",0)</f>
        <v>Surly Straggler 650b - 2016</v>
      </c>
      <c r="I413" s="1">
        <f t="shared" si="13"/>
        <v>1680.79</v>
      </c>
    </row>
    <row r="414" spans="1:9" x14ac:dyDescent="0.2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 s="1">
        <f t="shared" si="12"/>
        <v>5999.8799999999992</v>
      </c>
      <c r="H414" s="1" t="str">
        <f>_xlfn.XLOOKUP(C414,Product!A:A,Product!B:B,"not found",0)</f>
        <v>Trek Conduit+ - 2016</v>
      </c>
      <c r="I414" s="1">
        <f t="shared" si="13"/>
        <v>5999.8799999999992</v>
      </c>
    </row>
    <row r="415" spans="1:9" x14ac:dyDescent="0.2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 s="1">
        <f t="shared" si="12"/>
        <v>1999.78</v>
      </c>
      <c r="H415" s="1" t="str">
        <f>_xlfn.XLOOKUP(C415,Product!A:A,Product!B:B,"not found",0)</f>
        <v>Surly Wednesday Frameset - 2016</v>
      </c>
      <c r="I415" s="1">
        <f t="shared" si="13"/>
        <v>1999.78</v>
      </c>
    </row>
    <row r="416" spans="1:9" x14ac:dyDescent="0.2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 s="1">
        <f t="shared" si="12"/>
        <v>549.89</v>
      </c>
      <c r="H416" s="1" t="str">
        <f>_xlfn.XLOOKUP(C416,Product!A:A,Product!B:B,"not found",0)</f>
        <v>Electra Townie Original 21D - 2016</v>
      </c>
      <c r="I416" s="1">
        <f t="shared" si="13"/>
        <v>549.89</v>
      </c>
    </row>
    <row r="417" spans="1:9" x14ac:dyDescent="0.2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 s="1">
        <f t="shared" si="12"/>
        <v>1199.8800000000001</v>
      </c>
      <c r="H417" s="1" t="str">
        <f>_xlfn.XLOOKUP(C417,Product!A:A,Product!B:B,"not found",0)</f>
        <v>Electra Townie Original 7D EQ - Women's - 2016</v>
      </c>
      <c r="I417" s="1">
        <f t="shared" si="13"/>
        <v>1199.8800000000001</v>
      </c>
    </row>
    <row r="418" spans="1:9" x14ac:dyDescent="0.2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 s="1">
        <f t="shared" si="12"/>
        <v>939.93000000000006</v>
      </c>
      <c r="H418" s="1" t="str">
        <f>_xlfn.XLOOKUP(C418,Product!A:A,Product!B:B,"not found",0)</f>
        <v>Surly Ice Cream Truck Frameset - 2016</v>
      </c>
      <c r="I418" s="1">
        <f t="shared" si="13"/>
        <v>939.93000000000006</v>
      </c>
    </row>
    <row r="419" spans="1:9" x14ac:dyDescent="0.2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 s="1">
        <f t="shared" si="12"/>
        <v>749.92</v>
      </c>
      <c r="H419" s="1" t="str">
        <f>_xlfn.XLOOKUP(C419,Product!A:A,Product!B:B,"not found",0)</f>
        <v>Ritchey Timberwolf Frameset - 2016</v>
      </c>
      <c r="I419" s="1">
        <f t="shared" si="13"/>
        <v>749.92</v>
      </c>
    </row>
    <row r="420" spans="1:9" x14ac:dyDescent="0.2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 s="1">
        <f t="shared" si="12"/>
        <v>1199.78</v>
      </c>
      <c r="H420" s="1" t="str">
        <f>_xlfn.XLOOKUP(C420,Product!A:A,Product!B:B,"not found",0)</f>
        <v>Electra Townie Original 7D EQ - 2016</v>
      </c>
      <c r="I420" s="1">
        <f t="shared" si="13"/>
        <v>1199.78</v>
      </c>
    </row>
    <row r="421" spans="1:9" x14ac:dyDescent="0.2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 s="1">
        <f t="shared" si="12"/>
        <v>269.94</v>
      </c>
      <c r="H421" s="1" t="str">
        <f>_xlfn.XLOOKUP(C421,Product!A:A,Product!B:B,"not found",0)</f>
        <v>Electra Girl's Hawaii 1 (16-inch) - 2015/2016</v>
      </c>
      <c r="I421" s="1">
        <f t="shared" si="13"/>
        <v>269.94</v>
      </c>
    </row>
    <row r="422" spans="1:9" x14ac:dyDescent="0.2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 s="1">
        <f t="shared" si="12"/>
        <v>1099.9100000000001</v>
      </c>
      <c r="H422" s="1" t="str">
        <f>_xlfn.XLOOKUP(C422,Product!A:A,Product!B:B,"not found",0)</f>
        <v>Electra Townie Original 21D - 2016</v>
      </c>
      <c r="I422" s="1">
        <f t="shared" si="13"/>
        <v>1099.9100000000001</v>
      </c>
    </row>
    <row r="423" spans="1:9" x14ac:dyDescent="0.2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 s="1">
        <f t="shared" si="12"/>
        <v>539.91</v>
      </c>
      <c r="H423" s="1" t="str">
        <f>_xlfn.XLOOKUP(C423,Product!A:A,Product!B:B,"not found",0)</f>
        <v>Electra Cruiser 1 (24-Inch) - 2016</v>
      </c>
      <c r="I423" s="1">
        <f t="shared" si="13"/>
        <v>539.91</v>
      </c>
    </row>
    <row r="424" spans="1:9" x14ac:dyDescent="0.2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 s="1">
        <f t="shared" si="12"/>
        <v>3999.89</v>
      </c>
      <c r="H424" s="1" t="str">
        <f>_xlfn.XLOOKUP(C424,Product!A:A,Product!B:B,"not found",0)</f>
        <v>Trek Slash 8 27.5 - 2016</v>
      </c>
      <c r="I424" s="1">
        <f t="shared" si="13"/>
        <v>3999.89</v>
      </c>
    </row>
    <row r="425" spans="1:9" x14ac:dyDescent="0.2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 s="1">
        <f t="shared" si="12"/>
        <v>999.79</v>
      </c>
      <c r="H425" s="1" t="str">
        <f>_xlfn.XLOOKUP(C425,Product!A:A,Product!B:B,"not found",0)</f>
        <v>Surly Wednesday Frameset - 2016</v>
      </c>
      <c r="I425" s="1">
        <f t="shared" si="13"/>
        <v>999.79</v>
      </c>
    </row>
    <row r="426" spans="1:9" x14ac:dyDescent="0.2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 s="1">
        <f t="shared" si="12"/>
        <v>428.93</v>
      </c>
      <c r="H426" s="1" t="str">
        <f>_xlfn.XLOOKUP(C426,Product!A:A,Product!B:B,"not found",0)</f>
        <v>Pure Cycles Vine 8-Speed - 2016</v>
      </c>
      <c r="I426" s="1">
        <f t="shared" si="13"/>
        <v>428.93</v>
      </c>
    </row>
    <row r="427" spans="1:9" x14ac:dyDescent="0.2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 s="1">
        <f t="shared" si="12"/>
        <v>999.91</v>
      </c>
      <c r="H427" s="1" t="str">
        <f>_xlfn.XLOOKUP(C427,Product!A:A,Product!B:B,"not found",0)</f>
        <v>Electra Townie Original 7D - 2015/2016</v>
      </c>
      <c r="I427" s="1">
        <f t="shared" si="13"/>
        <v>999.91</v>
      </c>
    </row>
    <row r="428" spans="1:9" x14ac:dyDescent="0.2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 s="1">
        <f t="shared" si="12"/>
        <v>428.9</v>
      </c>
      <c r="H428" s="1" t="str">
        <f>_xlfn.XLOOKUP(C428,Product!A:A,Product!B:B,"not found",0)</f>
        <v>Pure Cycles Vine 8-Speed - 2016</v>
      </c>
      <c r="I428" s="1">
        <f t="shared" si="13"/>
        <v>428.9</v>
      </c>
    </row>
    <row r="429" spans="1:9" x14ac:dyDescent="0.2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 s="1">
        <f t="shared" si="12"/>
        <v>599.89</v>
      </c>
      <c r="H429" s="1" t="str">
        <f>_xlfn.XLOOKUP(C429,Product!A:A,Product!B:B,"not found",0)</f>
        <v>Electra Townie Original 7D EQ - 2016</v>
      </c>
      <c r="I429" s="1">
        <f t="shared" si="13"/>
        <v>599.89</v>
      </c>
    </row>
    <row r="430" spans="1:9" x14ac:dyDescent="0.2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 s="1">
        <f t="shared" si="12"/>
        <v>939.78</v>
      </c>
      <c r="H430" s="1" t="str">
        <f>_xlfn.XLOOKUP(C430,Product!A:A,Product!B:B,"not found",0)</f>
        <v>Surly Ice Cream Truck Frameset - 2016</v>
      </c>
      <c r="I430" s="1">
        <f t="shared" si="13"/>
        <v>939.78</v>
      </c>
    </row>
    <row r="431" spans="1:9" x14ac:dyDescent="0.2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 s="1">
        <f t="shared" si="12"/>
        <v>539.78</v>
      </c>
      <c r="H431" s="1" t="str">
        <f>_xlfn.XLOOKUP(C431,Product!A:A,Product!B:B,"not found",0)</f>
        <v>Electra Girl's Hawaii 1 (16-inch) - 2015/2016</v>
      </c>
      <c r="I431" s="1">
        <f t="shared" si="13"/>
        <v>539.78</v>
      </c>
    </row>
    <row r="432" spans="1:9" x14ac:dyDescent="0.2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 s="1">
        <f t="shared" si="12"/>
        <v>1199.9100000000001</v>
      </c>
      <c r="H432" s="1" t="str">
        <f>_xlfn.XLOOKUP(C432,Product!A:A,Product!B:B,"not found",0)</f>
        <v>Electra Townie Original 7D EQ - 2016</v>
      </c>
      <c r="I432" s="1">
        <f t="shared" si="13"/>
        <v>1199.9100000000001</v>
      </c>
    </row>
    <row r="433" spans="1:9" x14ac:dyDescent="0.2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 s="1">
        <f t="shared" si="12"/>
        <v>599.91999999999996</v>
      </c>
      <c r="H433" s="1" t="str">
        <f>_xlfn.XLOOKUP(C433,Product!A:A,Product!B:B,"not found",0)</f>
        <v>Electra Townie Original 7D EQ - 2016</v>
      </c>
      <c r="I433" s="1">
        <f t="shared" si="13"/>
        <v>599.91999999999996</v>
      </c>
    </row>
    <row r="434" spans="1:9" x14ac:dyDescent="0.2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 s="1">
        <f t="shared" si="12"/>
        <v>1799.92</v>
      </c>
      <c r="H434" s="1" t="str">
        <f>_xlfn.XLOOKUP(C434,Product!A:A,Product!B:B,"not found",0)</f>
        <v>Trek Remedy 29 Carbon Frameset - 2016</v>
      </c>
      <c r="I434" s="1">
        <f t="shared" si="13"/>
        <v>1799.92</v>
      </c>
    </row>
    <row r="435" spans="1:9" x14ac:dyDescent="0.2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 s="1">
        <f t="shared" si="12"/>
        <v>1059.93</v>
      </c>
      <c r="H435" s="1" t="str">
        <f>_xlfn.XLOOKUP(C435,Product!A:A,Product!B:B,"not found",0)</f>
        <v>Electra Moto 1 - 2016</v>
      </c>
      <c r="I435" s="1">
        <f t="shared" si="13"/>
        <v>1059.93</v>
      </c>
    </row>
    <row r="436" spans="1:9" x14ac:dyDescent="0.2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 s="1">
        <f t="shared" si="12"/>
        <v>549.89</v>
      </c>
      <c r="H436" s="1" t="str">
        <f>_xlfn.XLOOKUP(C436,Product!A:A,Product!B:B,"not found",0)</f>
        <v>Electra Townie Original 21D - 2016</v>
      </c>
      <c r="I436" s="1">
        <f t="shared" si="13"/>
        <v>549.89</v>
      </c>
    </row>
    <row r="437" spans="1:9" x14ac:dyDescent="0.2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 s="1">
        <f t="shared" si="12"/>
        <v>1799.89</v>
      </c>
      <c r="H437" s="1" t="str">
        <f>_xlfn.XLOOKUP(C437,Product!A:A,Product!B:B,"not found",0)</f>
        <v>Trek Remedy 29 Carbon Frameset - 2016</v>
      </c>
      <c r="I437" s="1">
        <f t="shared" si="13"/>
        <v>1799.89</v>
      </c>
    </row>
    <row r="438" spans="1:9" x14ac:dyDescent="0.2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 s="1">
        <f t="shared" si="12"/>
        <v>897.8</v>
      </c>
      <c r="H438" s="1" t="str">
        <f>_xlfn.XLOOKUP(C438,Product!A:A,Product!B:B,"not found",0)</f>
        <v>Pure Cycles Western 3-Speed - Women's - 2015/2016</v>
      </c>
      <c r="I438" s="1">
        <f t="shared" si="13"/>
        <v>897.8</v>
      </c>
    </row>
    <row r="439" spans="1:9" x14ac:dyDescent="0.2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 s="1">
        <f t="shared" si="12"/>
        <v>857.95</v>
      </c>
      <c r="H439" s="1" t="str">
        <f>_xlfn.XLOOKUP(C439,Product!A:A,Product!B:B,"not found",0)</f>
        <v>Pure Cycles Vine 8-Speed - 2016</v>
      </c>
      <c r="I439" s="1">
        <f t="shared" si="13"/>
        <v>857.95</v>
      </c>
    </row>
    <row r="440" spans="1:9" x14ac:dyDescent="0.2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 s="1">
        <f t="shared" si="12"/>
        <v>469.92</v>
      </c>
      <c r="H440" s="1" t="str">
        <f>_xlfn.XLOOKUP(C440,Product!A:A,Product!B:B,"not found",0)</f>
        <v>Surly Ice Cream Truck Frameset - 2016</v>
      </c>
      <c r="I440" s="1">
        <f t="shared" si="13"/>
        <v>469.92</v>
      </c>
    </row>
    <row r="441" spans="1:9" x14ac:dyDescent="0.2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 s="1">
        <f t="shared" si="12"/>
        <v>2899.89</v>
      </c>
      <c r="H441" s="1" t="str">
        <f>_xlfn.XLOOKUP(C441,Product!A:A,Product!B:B,"not found",0)</f>
        <v>Trek Fuel EX 8 29 - 2016</v>
      </c>
      <c r="I441" s="1">
        <f t="shared" si="13"/>
        <v>2899.89</v>
      </c>
    </row>
    <row r="442" spans="1:9" x14ac:dyDescent="0.2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 s="1">
        <f t="shared" si="12"/>
        <v>7999.91</v>
      </c>
      <c r="H442" s="1" t="str">
        <f>_xlfn.XLOOKUP(C442,Product!A:A,Product!B:B,"not found",0)</f>
        <v>Trek Slash 8 27.5 - 2016</v>
      </c>
      <c r="I442" s="1">
        <f t="shared" si="13"/>
        <v>7999.91</v>
      </c>
    </row>
    <row r="443" spans="1:9" x14ac:dyDescent="0.2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 s="1">
        <f t="shared" si="12"/>
        <v>549.89</v>
      </c>
      <c r="H443" s="1" t="str">
        <f>_xlfn.XLOOKUP(C443,Product!A:A,Product!B:B,"not found",0)</f>
        <v>Electra Townie Original 21D - 2016</v>
      </c>
      <c r="I443" s="1">
        <f t="shared" si="13"/>
        <v>549.89</v>
      </c>
    </row>
    <row r="444" spans="1:9" x14ac:dyDescent="0.2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 s="1">
        <f t="shared" si="12"/>
        <v>269.79000000000002</v>
      </c>
      <c r="H444" s="1" t="str">
        <f>_xlfn.XLOOKUP(C444,Product!A:A,Product!B:B,"not found",0)</f>
        <v>Electra Cruiser 1 (24-Inch) - 2016</v>
      </c>
      <c r="I444" s="1">
        <f t="shared" si="13"/>
        <v>269.79000000000002</v>
      </c>
    </row>
    <row r="445" spans="1:9" x14ac:dyDescent="0.2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 s="1">
        <f t="shared" si="12"/>
        <v>269.92</v>
      </c>
      <c r="H445" s="1" t="str">
        <f>_xlfn.XLOOKUP(C445,Product!A:A,Product!B:B,"not found",0)</f>
        <v>Electra Cruiser 1 (24-Inch) - 2016</v>
      </c>
      <c r="I445" s="1">
        <f t="shared" si="13"/>
        <v>269.92</v>
      </c>
    </row>
    <row r="446" spans="1:9" x14ac:dyDescent="0.2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 s="1">
        <f t="shared" si="12"/>
        <v>1059.9100000000001</v>
      </c>
      <c r="H446" s="1" t="str">
        <f>_xlfn.XLOOKUP(C446,Product!A:A,Product!B:B,"not found",0)</f>
        <v>Electra Moto 1 - 2016</v>
      </c>
      <c r="I446" s="1">
        <f t="shared" si="13"/>
        <v>1059.9100000000001</v>
      </c>
    </row>
    <row r="447" spans="1:9" x14ac:dyDescent="0.2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 s="1">
        <f t="shared" si="12"/>
        <v>897.9</v>
      </c>
      <c r="H447" s="1" t="str">
        <f>_xlfn.XLOOKUP(C447,Product!A:A,Product!B:B,"not found",0)</f>
        <v>Pure Cycles Western 3-Speed - Women's - 2015/2016</v>
      </c>
      <c r="I447" s="1">
        <f t="shared" si="13"/>
        <v>897.9</v>
      </c>
    </row>
    <row r="448" spans="1:9" x14ac:dyDescent="0.2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 s="1">
        <f t="shared" si="12"/>
        <v>1680.94</v>
      </c>
      <c r="H448" s="1" t="str">
        <f>_xlfn.XLOOKUP(C448,Product!A:A,Product!B:B,"not found",0)</f>
        <v>Surly Straggler 650b - 2016</v>
      </c>
      <c r="I448" s="1">
        <f t="shared" si="13"/>
        <v>1680.94</v>
      </c>
    </row>
    <row r="449" spans="1:9" x14ac:dyDescent="0.2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 s="1">
        <f t="shared" si="12"/>
        <v>1099.9100000000001</v>
      </c>
      <c r="H449" s="1" t="str">
        <f>_xlfn.XLOOKUP(C449,Product!A:A,Product!B:B,"not found",0)</f>
        <v>Electra Townie Original 21D - 2016</v>
      </c>
      <c r="I449" s="1">
        <f t="shared" si="13"/>
        <v>1099.9100000000001</v>
      </c>
    </row>
    <row r="450" spans="1:9" x14ac:dyDescent="0.2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 s="1">
        <f t="shared" si="12"/>
        <v>269.94</v>
      </c>
      <c r="H450" s="1" t="str">
        <f>_xlfn.XLOOKUP(C450,Product!A:A,Product!B:B,"not found",0)</f>
        <v>Electra Girl's Hawaii 1 (16-inch) - 2015/2016</v>
      </c>
      <c r="I450" s="1">
        <f t="shared" si="13"/>
        <v>269.94</v>
      </c>
    </row>
    <row r="451" spans="1:9" x14ac:dyDescent="0.2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 s="1">
        <f t="shared" ref="G451:G514" si="14">(E451*D451)-F451</f>
        <v>7999.9299999999994</v>
      </c>
      <c r="H451" s="1" t="str">
        <f>_xlfn.XLOOKUP(C451,Product!A:A,Product!B:B,"not found",0)</f>
        <v>Trek Slash 8 27.5 - 2016</v>
      </c>
      <c r="I451" s="1">
        <f t="shared" ref="I451:I514" si="15">(D451*E451)-F451</f>
        <v>7999.9299999999994</v>
      </c>
    </row>
    <row r="452" spans="1:9" x14ac:dyDescent="0.2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 s="1">
        <f t="shared" si="14"/>
        <v>448.93</v>
      </c>
      <c r="H452" s="1" t="str">
        <f>_xlfn.XLOOKUP(C452,Product!A:A,Product!B:B,"not found",0)</f>
        <v>Pure Cycles Western 3-Speed - Women's - 2015/2016</v>
      </c>
      <c r="I452" s="1">
        <f t="shared" si="15"/>
        <v>448.93</v>
      </c>
    </row>
    <row r="453" spans="1:9" x14ac:dyDescent="0.2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 s="1">
        <f t="shared" si="14"/>
        <v>539.91</v>
      </c>
      <c r="H453" s="1" t="str">
        <f>_xlfn.XLOOKUP(C453,Product!A:A,Product!B:B,"not found",0)</f>
        <v>Electra Cruiser 1 (24-Inch) - 2016</v>
      </c>
      <c r="I453" s="1">
        <f t="shared" si="15"/>
        <v>539.91</v>
      </c>
    </row>
    <row r="454" spans="1:9" x14ac:dyDescent="0.2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 s="1">
        <f t="shared" si="14"/>
        <v>1999.88</v>
      </c>
      <c r="H454" s="1" t="str">
        <f>_xlfn.XLOOKUP(C454,Product!A:A,Product!B:B,"not found",0)</f>
        <v>Surly Wednesday Frameset - 2016</v>
      </c>
      <c r="I454" s="1">
        <f t="shared" si="15"/>
        <v>1999.88</v>
      </c>
    </row>
    <row r="455" spans="1:9" x14ac:dyDescent="0.2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 s="1">
        <f t="shared" si="14"/>
        <v>549.89</v>
      </c>
      <c r="H455" s="1" t="str">
        <f>_xlfn.XLOOKUP(C455,Product!A:A,Product!B:B,"not found",0)</f>
        <v>Electra Townie Original 21D - 2016</v>
      </c>
      <c r="I455" s="1">
        <f t="shared" si="15"/>
        <v>549.89</v>
      </c>
    </row>
    <row r="456" spans="1:9" x14ac:dyDescent="0.2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 s="1">
        <f t="shared" si="14"/>
        <v>448.8</v>
      </c>
      <c r="H456" s="1" t="str">
        <f>_xlfn.XLOOKUP(C456,Product!A:A,Product!B:B,"not found",0)</f>
        <v>Pure Cycles Western 3-Speed - Women's - 2015/2016</v>
      </c>
      <c r="I456" s="1">
        <f t="shared" si="15"/>
        <v>448.8</v>
      </c>
    </row>
    <row r="457" spans="1:9" x14ac:dyDescent="0.2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 s="1">
        <f t="shared" si="14"/>
        <v>5799.9299999999994</v>
      </c>
      <c r="H457" s="1" t="str">
        <f>_xlfn.XLOOKUP(C457,Product!A:A,Product!B:B,"not found",0)</f>
        <v>Trek Fuel EX 8 29 - 2016</v>
      </c>
      <c r="I457" s="1">
        <f t="shared" si="15"/>
        <v>5799.9299999999994</v>
      </c>
    </row>
    <row r="458" spans="1:9" x14ac:dyDescent="0.2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 s="1">
        <f t="shared" si="14"/>
        <v>3097.95</v>
      </c>
      <c r="H458" s="1" t="str">
        <f>_xlfn.XLOOKUP(C458,Product!A:A,Product!B:B,"not found",0)</f>
        <v>Surly Straggler - 2016</v>
      </c>
      <c r="I458" s="1">
        <f t="shared" si="15"/>
        <v>3097.95</v>
      </c>
    </row>
    <row r="459" spans="1:9" x14ac:dyDescent="0.2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 s="1">
        <f t="shared" si="14"/>
        <v>269.89</v>
      </c>
      <c r="H459" s="1" t="str">
        <f>_xlfn.XLOOKUP(C459,Product!A:A,Product!B:B,"not found",0)</f>
        <v>Electra Girl's Hawaii 1 (16-inch) - 2015/2016</v>
      </c>
      <c r="I459" s="1">
        <f t="shared" si="15"/>
        <v>269.89</v>
      </c>
    </row>
    <row r="460" spans="1:9" x14ac:dyDescent="0.2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 s="1">
        <f t="shared" si="14"/>
        <v>5799.9299999999994</v>
      </c>
      <c r="H460" s="1" t="str">
        <f>_xlfn.XLOOKUP(C460,Product!A:A,Product!B:B,"not found",0)</f>
        <v>Trek Fuel EX 8 29 - 2016</v>
      </c>
      <c r="I460" s="1">
        <f t="shared" si="15"/>
        <v>5799.9299999999994</v>
      </c>
    </row>
    <row r="461" spans="1:9" x14ac:dyDescent="0.2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 s="1">
        <f t="shared" si="14"/>
        <v>299.79000000000002</v>
      </c>
      <c r="H461" s="1" t="str">
        <f>_xlfn.XLOOKUP(C461,Product!A:A,Product!B:B,"not found",0)</f>
        <v>Electra Girl's Hawaii 1 (20-inch) - 2015/2016</v>
      </c>
      <c r="I461" s="1">
        <f t="shared" si="15"/>
        <v>299.79000000000002</v>
      </c>
    </row>
    <row r="462" spans="1:9" x14ac:dyDescent="0.2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 s="1">
        <f t="shared" si="14"/>
        <v>749.94</v>
      </c>
      <c r="H462" s="1" t="str">
        <f>_xlfn.XLOOKUP(C462,Product!A:A,Product!B:B,"not found",0)</f>
        <v>Ritchey Timberwolf Frameset - 2016</v>
      </c>
      <c r="I462" s="1">
        <f t="shared" si="15"/>
        <v>749.94</v>
      </c>
    </row>
    <row r="463" spans="1:9" x14ac:dyDescent="0.2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 s="1">
        <f t="shared" si="14"/>
        <v>3097.9</v>
      </c>
      <c r="H463" s="1" t="str">
        <f>_xlfn.XLOOKUP(C463,Product!A:A,Product!B:B,"not found",0)</f>
        <v>Surly Straggler - 2016</v>
      </c>
      <c r="I463" s="1">
        <f t="shared" si="15"/>
        <v>3097.9</v>
      </c>
    </row>
    <row r="464" spans="1:9" x14ac:dyDescent="0.2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 s="1">
        <f t="shared" si="14"/>
        <v>1680.79</v>
      </c>
      <c r="H464" s="1" t="str">
        <f>_xlfn.XLOOKUP(C464,Product!A:A,Product!B:B,"not found",0)</f>
        <v>Surly Straggler 650b - 2016</v>
      </c>
      <c r="I464" s="1">
        <f t="shared" si="15"/>
        <v>1680.79</v>
      </c>
    </row>
    <row r="465" spans="1:9" x14ac:dyDescent="0.2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 s="1">
        <f t="shared" si="14"/>
        <v>549.94000000000005</v>
      </c>
      <c r="H465" s="1" t="str">
        <f>_xlfn.XLOOKUP(C465,Product!A:A,Product!B:B,"not found",0)</f>
        <v>Electra Townie Original 21D - 2016</v>
      </c>
      <c r="I465" s="1">
        <f t="shared" si="15"/>
        <v>549.94000000000005</v>
      </c>
    </row>
    <row r="466" spans="1:9" x14ac:dyDescent="0.2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 s="1">
        <f t="shared" si="14"/>
        <v>1548.8</v>
      </c>
      <c r="H466" s="1" t="str">
        <f>_xlfn.XLOOKUP(C466,Product!A:A,Product!B:B,"not found",0)</f>
        <v>Surly Straggler - 2016</v>
      </c>
      <c r="I466" s="1">
        <f t="shared" si="15"/>
        <v>1548.8</v>
      </c>
    </row>
    <row r="467" spans="1:9" x14ac:dyDescent="0.2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 s="1">
        <f t="shared" si="14"/>
        <v>539.93000000000006</v>
      </c>
      <c r="H467" s="1" t="str">
        <f>_xlfn.XLOOKUP(C467,Product!A:A,Product!B:B,"not found",0)</f>
        <v>Electra Cruiser 1 (24-Inch) - 2016</v>
      </c>
      <c r="I467" s="1">
        <f t="shared" si="15"/>
        <v>539.93000000000006</v>
      </c>
    </row>
    <row r="468" spans="1:9" x14ac:dyDescent="0.2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 s="1">
        <f t="shared" si="14"/>
        <v>7999.9299999999994</v>
      </c>
      <c r="H468" s="1" t="str">
        <f>_xlfn.XLOOKUP(C468,Product!A:A,Product!B:B,"not found",0)</f>
        <v>Trek Slash 8 27.5 - 2016</v>
      </c>
      <c r="I468" s="1">
        <f t="shared" si="15"/>
        <v>7999.9299999999994</v>
      </c>
    </row>
    <row r="469" spans="1:9" x14ac:dyDescent="0.2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 s="1">
        <f t="shared" si="14"/>
        <v>469.89</v>
      </c>
      <c r="H469" s="1" t="str">
        <f>_xlfn.XLOOKUP(C469,Product!A:A,Product!B:B,"not found",0)</f>
        <v>Surly Ice Cream Truck Frameset - 2016</v>
      </c>
      <c r="I469" s="1">
        <f t="shared" si="15"/>
        <v>469.89</v>
      </c>
    </row>
    <row r="470" spans="1:9" x14ac:dyDescent="0.2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 s="1">
        <f t="shared" si="14"/>
        <v>3361.91</v>
      </c>
      <c r="H470" s="1" t="str">
        <f>_xlfn.XLOOKUP(C470,Product!A:A,Product!B:B,"not found",0)</f>
        <v>Surly Straggler 650b - 2016</v>
      </c>
      <c r="I470" s="1">
        <f t="shared" si="15"/>
        <v>3361.91</v>
      </c>
    </row>
    <row r="471" spans="1:9" x14ac:dyDescent="0.2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 s="1">
        <f t="shared" si="14"/>
        <v>1099.9100000000001</v>
      </c>
      <c r="H471" s="1" t="str">
        <f>_xlfn.XLOOKUP(C471,Product!A:A,Product!B:B,"not found",0)</f>
        <v>Electra Townie Original 21D - 2016</v>
      </c>
      <c r="I471" s="1">
        <f t="shared" si="15"/>
        <v>1099.9100000000001</v>
      </c>
    </row>
    <row r="472" spans="1:9" x14ac:dyDescent="0.2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 s="1">
        <f t="shared" si="14"/>
        <v>539.78</v>
      </c>
      <c r="H472" s="1" t="str">
        <f>_xlfn.XLOOKUP(C472,Product!A:A,Product!B:B,"not found",0)</f>
        <v>Electra Girl's Hawaii 1 (16-inch) - 2015/2016</v>
      </c>
      <c r="I472" s="1">
        <f t="shared" si="15"/>
        <v>539.78</v>
      </c>
    </row>
    <row r="473" spans="1:9" x14ac:dyDescent="0.2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 s="1">
        <f t="shared" si="14"/>
        <v>1199.8800000000001</v>
      </c>
      <c r="H473" s="1" t="str">
        <f>_xlfn.XLOOKUP(C473,Product!A:A,Product!B:B,"not found",0)</f>
        <v>Electra Townie Original 7D EQ - Women's - 2016</v>
      </c>
      <c r="I473" s="1">
        <f t="shared" si="15"/>
        <v>1199.8800000000001</v>
      </c>
    </row>
    <row r="474" spans="1:9" x14ac:dyDescent="0.2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 s="1">
        <f t="shared" si="14"/>
        <v>1320.94</v>
      </c>
      <c r="H474" s="1" t="str">
        <f>_xlfn.XLOOKUP(C474,Product!A:A,Product!B:B,"not found",0)</f>
        <v>Heller Shagamaw Frame - 2016</v>
      </c>
      <c r="I474" s="1">
        <f t="shared" si="15"/>
        <v>1320.94</v>
      </c>
    </row>
    <row r="475" spans="1:9" x14ac:dyDescent="0.2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 s="1">
        <f t="shared" si="14"/>
        <v>1548.8</v>
      </c>
      <c r="H475" s="1" t="str">
        <f>_xlfn.XLOOKUP(C475,Product!A:A,Product!B:B,"not found",0)</f>
        <v>Surly Straggler - 2016</v>
      </c>
      <c r="I475" s="1">
        <f t="shared" si="15"/>
        <v>1548.8</v>
      </c>
    </row>
    <row r="476" spans="1:9" x14ac:dyDescent="0.2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 s="1">
        <f t="shared" si="14"/>
        <v>1680.79</v>
      </c>
      <c r="H476" s="1" t="str">
        <f>_xlfn.XLOOKUP(C476,Product!A:A,Product!B:B,"not found",0)</f>
        <v>Surly Straggler 650b - 2016</v>
      </c>
      <c r="I476" s="1">
        <f t="shared" si="15"/>
        <v>1680.79</v>
      </c>
    </row>
    <row r="477" spans="1:9" x14ac:dyDescent="0.2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 s="1">
        <f t="shared" si="14"/>
        <v>539.93000000000006</v>
      </c>
      <c r="H477" s="1" t="str">
        <f>_xlfn.XLOOKUP(C477,Product!A:A,Product!B:B,"not found",0)</f>
        <v>Electra Girl's Hawaii 1 (16-inch) - 2015/2016</v>
      </c>
      <c r="I477" s="1">
        <f t="shared" si="15"/>
        <v>539.93000000000006</v>
      </c>
    </row>
    <row r="478" spans="1:9" x14ac:dyDescent="0.2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 s="1">
        <f t="shared" si="14"/>
        <v>1099.8800000000001</v>
      </c>
      <c r="H478" s="1" t="str">
        <f>_xlfn.XLOOKUP(C478,Product!A:A,Product!B:B,"not found",0)</f>
        <v>Electra Townie Original 21D - 2016</v>
      </c>
      <c r="I478" s="1">
        <f t="shared" si="15"/>
        <v>1099.8800000000001</v>
      </c>
    </row>
    <row r="479" spans="1:9" x14ac:dyDescent="0.2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 s="1">
        <f t="shared" si="14"/>
        <v>549.94000000000005</v>
      </c>
      <c r="H479" s="1" t="str">
        <f>_xlfn.XLOOKUP(C479,Product!A:A,Product!B:B,"not found",0)</f>
        <v>Electra Townie Original 21D - 2016</v>
      </c>
      <c r="I479" s="1">
        <f t="shared" si="15"/>
        <v>549.94000000000005</v>
      </c>
    </row>
    <row r="480" spans="1:9" x14ac:dyDescent="0.2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 s="1">
        <f t="shared" si="14"/>
        <v>3999.79</v>
      </c>
      <c r="H480" s="1" t="str">
        <f>_xlfn.XLOOKUP(C480,Product!A:A,Product!B:B,"not found",0)</f>
        <v>Trek Slash 8 27.5 - 2016</v>
      </c>
      <c r="I480" s="1">
        <f t="shared" si="15"/>
        <v>3999.79</v>
      </c>
    </row>
    <row r="481" spans="1:9" x14ac:dyDescent="0.2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 s="1">
        <f t="shared" si="14"/>
        <v>897.95</v>
      </c>
      <c r="H481" s="1" t="str">
        <f>_xlfn.XLOOKUP(C481,Product!A:A,Product!B:B,"not found",0)</f>
        <v>Pure Cycles Western 3-Speed - Women's - 2015/2016</v>
      </c>
      <c r="I481" s="1">
        <f t="shared" si="15"/>
        <v>897.95</v>
      </c>
    </row>
    <row r="482" spans="1:9" x14ac:dyDescent="0.2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 s="1">
        <f t="shared" si="14"/>
        <v>1799.94</v>
      </c>
      <c r="H482" s="1" t="str">
        <f>_xlfn.XLOOKUP(C482,Product!A:A,Product!B:B,"not found",0)</f>
        <v>Trek Remedy 29 Carbon Frameset - 2016</v>
      </c>
      <c r="I482" s="1">
        <f t="shared" si="15"/>
        <v>1799.94</v>
      </c>
    </row>
    <row r="483" spans="1:9" x14ac:dyDescent="0.2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 s="1">
        <f t="shared" si="14"/>
        <v>299.92</v>
      </c>
      <c r="H483" s="1" t="str">
        <f>_xlfn.XLOOKUP(C483,Product!A:A,Product!B:B,"not found",0)</f>
        <v>Electra Girl's Hawaii 1 (20-inch) - 2015/2016</v>
      </c>
      <c r="I483" s="1">
        <f t="shared" si="15"/>
        <v>299.92</v>
      </c>
    </row>
    <row r="484" spans="1:9" x14ac:dyDescent="0.2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 s="1">
        <f t="shared" si="14"/>
        <v>599.79</v>
      </c>
      <c r="H484" s="1" t="str">
        <f>_xlfn.XLOOKUP(C484,Product!A:A,Product!B:B,"not found",0)</f>
        <v>Electra Townie Original 7D EQ - 2016</v>
      </c>
      <c r="I484" s="1">
        <f t="shared" si="15"/>
        <v>599.79</v>
      </c>
    </row>
    <row r="485" spans="1:9" x14ac:dyDescent="0.2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 s="1">
        <f t="shared" si="14"/>
        <v>269.94</v>
      </c>
      <c r="H485" s="1" t="str">
        <f>_xlfn.XLOOKUP(C485,Product!A:A,Product!B:B,"not found",0)</f>
        <v>Electra Girl's Hawaii 1 (16-inch) - 2015/2016</v>
      </c>
      <c r="I485" s="1">
        <f t="shared" si="15"/>
        <v>269.94</v>
      </c>
    </row>
    <row r="486" spans="1:9" x14ac:dyDescent="0.2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 s="1">
        <f t="shared" si="14"/>
        <v>599.79</v>
      </c>
      <c r="H486" s="1" t="str">
        <f>_xlfn.XLOOKUP(C486,Product!A:A,Product!B:B,"not found",0)</f>
        <v>Electra Townie Original 7D EQ - 2016</v>
      </c>
      <c r="I486" s="1">
        <f t="shared" si="15"/>
        <v>599.79</v>
      </c>
    </row>
    <row r="487" spans="1:9" x14ac:dyDescent="0.2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 s="1">
        <f t="shared" si="14"/>
        <v>1199.93</v>
      </c>
      <c r="H487" s="1" t="str">
        <f>_xlfn.XLOOKUP(C487,Product!A:A,Product!B:B,"not found",0)</f>
        <v>Electra Townie Original 7D EQ - Women's - 2016</v>
      </c>
      <c r="I487" s="1">
        <f t="shared" si="15"/>
        <v>1199.93</v>
      </c>
    </row>
    <row r="488" spans="1:9" x14ac:dyDescent="0.2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 s="1">
        <f t="shared" si="14"/>
        <v>539.78</v>
      </c>
      <c r="H488" s="1" t="str">
        <f>_xlfn.XLOOKUP(C488,Product!A:A,Product!B:B,"not found",0)</f>
        <v>Electra Girl's Hawaii 1 (16-inch) - 2015/2016</v>
      </c>
      <c r="I488" s="1">
        <f t="shared" si="15"/>
        <v>539.78</v>
      </c>
    </row>
    <row r="489" spans="1:9" x14ac:dyDescent="0.2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 s="1">
        <f t="shared" si="14"/>
        <v>897.9</v>
      </c>
      <c r="H489" s="1" t="str">
        <f>_xlfn.XLOOKUP(C489,Product!A:A,Product!B:B,"not found",0)</f>
        <v>Pure Cycles William 3-Speed - 2016</v>
      </c>
      <c r="I489" s="1">
        <f t="shared" si="15"/>
        <v>897.9</v>
      </c>
    </row>
    <row r="490" spans="1:9" x14ac:dyDescent="0.2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 s="1">
        <f t="shared" si="14"/>
        <v>1320.89</v>
      </c>
      <c r="H490" s="1" t="str">
        <f>_xlfn.XLOOKUP(C490,Product!A:A,Product!B:B,"not found",0)</f>
        <v>Heller Shagamaw Frame - 2016</v>
      </c>
      <c r="I490" s="1">
        <f t="shared" si="15"/>
        <v>1320.89</v>
      </c>
    </row>
    <row r="491" spans="1:9" x14ac:dyDescent="0.2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 s="1">
        <f t="shared" si="14"/>
        <v>1499.78</v>
      </c>
      <c r="H491" s="1" t="str">
        <f>_xlfn.XLOOKUP(C491,Product!A:A,Product!B:B,"not found",0)</f>
        <v>Ritchey Timberwolf Frameset - 2016</v>
      </c>
      <c r="I491" s="1">
        <f t="shared" si="15"/>
        <v>1499.78</v>
      </c>
    </row>
    <row r="492" spans="1:9" x14ac:dyDescent="0.2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 s="1">
        <f t="shared" si="14"/>
        <v>539.88</v>
      </c>
      <c r="H492" s="1" t="str">
        <f>_xlfn.XLOOKUP(C492,Product!A:A,Product!B:B,"not found",0)</f>
        <v>Electra Cruiser 1 (24-Inch) - 2016</v>
      </c>
      <c r="I492" s="1">
        <f t="shared" si="15"/>
        <v>539.88</v>
      </c>
    </row>
    <row r="493" spans="1:9" x14ac:dyDescent="0.2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 s="1">
        <f t="shared" si="14"/>
        <v>448.93</v>
      </c>
      <c r="H493" s="1" t="str">
        <f>_xlfn.XLOOKUP(C493,Product!A:A,Product!B:B,"not found",0)</f>
        <v>Pure Cycles William 3-Speed - 2016</v>
      </c>
      <c r="I493" s="1">
        <f t="shared" si="15"/>
        <v>448.93</v>
      </c>
    </row>
    <row r="494" spans="1:9" x14ac:dyDescent="0.2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 s="1">
        <f t="shared" si="14"/>
        <v>1499.91</v>
      </c>
      <c r="H494" s="1" t="str">
        <f>_xlfn.XLOOKUP(C494,Product!A:A,Product!B:B,"not found",0)</f>
        <v>Ritchey Timberwolf Frameset - 2016</v>
      </c>
      <c r="I494" s="1">
        <f t="shared" si="15"/>
        <v>1499.91</v>
      </c>
    </row>
    <row r="495" spans="1:9" x14ac:dyDescent="0.2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 s="1">
        <f t="shared" si="14"/>
        <v>3361.78</v>
      </c>
      <c r="H495" s="1" t="str">
        <f>_xlfn.XLOOKUP(C495,Product!A:A,Product!B:B,"not found",0)</f>
        <v>Surly Straggler 650b - 2016</v>
      </c>
      <c r="I495" s="1">
        <f t="shared" si="15"/>
        <v>3361.78</v>
      </c>
    </row>
    <row r="496" spans="1:9" x14ac:dyDescent="0.2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 s="1">
        <f t="shared" si="14"/>
        <v>1199.93</v>
      </c>
      <c r="H496" s="1" t="str">
        <f>_xlfn.XLOOKUP(C496,Product!A:A,Product!B:B,"not found",0)</f>
        <v>Electra Townie Original 7D EQ - 2016</v>
      </c>
      <c r="I496" s="1">
        <f t="shared" si="15"/>
        <v>1199.93</v>
      </c>
    </row>
    <row r="497" spans="1:9" x14ac:dyDescent="0.2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 s="1">
        <f t="shared" si="14"/>
        <v>1199.8800000000001</v>
      </c>
      <c r="H497" s="1" t="str">
        <f>_xlfn.XLOOKUP(C497,Product!A:A,Product!B:B,"not found",0)</f>
        <v>Electra Townie Original 7D EQ - Women's - 2016</v>
      </c>
      <c r="I497" s="1">
        <f t="shared" si="15"/>
        <v>1199.8800000000001</v>
      </c>
    </row>
    <row r="498" spans="1:9" x14ac:dyDescent="0.2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 s="1">
        <f t="shared" si="14"/>
        <v>3097.8</v>
      </c>
      <c r="H498" s="1" t="str">
        <f>_xlfn.XLOOKUP(C498,Product!A:A,Product!B:B,"not found",0)</f>
        <v>Surly Straggler - 2016</v>
      </c>
      <c r="I498" s="1">
        <f t="shared" si="15"/>
        <v>3097.8</v>
      </c>
    </row>
    <row r="499" spans="1:9" x14ac:dyDescent="0.2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 s="1">
        <f t="shared" si="14"/>
        <v>549.94000000000005</v>
      </c>
      <c r="H499" s="1" t="str">
        <f>_xlfn.XLOOKUP(C499,Product!A:A,Product!B:B,"not found",0)</f>
        <v>Electra Townie Original 21D - 2016</v>
      </c>
      <c r="I499" s="1">
        <f t="shared" si="15"/>
        <v>549.94000000000005</v>
      </c>
    </row>
    <row r="500" spans="1:9" x14ac:dyDescent="0.2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 s="1">
        <f t="shared" si="14"/>
        <v>999.89</v>
      </c>
      <c r="H500" s="1" t="str">
        <f>_xlfn.XLOOKUP(C500,Product!A:A,Product!B:B,"not found",0)</f>
        <v>Surly Wednesday Frameset - 2016</v>
      </c>
      <c r="I500" s="1">
        <f t="shared" si="15"/>
        <v>999.89</v>
      </c>
    </row>
    <row r="501" spans="1:9" x14ac:dyDescent="0.2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 s="1">
        <f t="shared" si="14"/>
        <v>448.93</v>
      </c>
      <c r="H501" s="1" t="str">
        <f>_xlfn.XLOOKUP(C501,Product!A:A,Product!B:B,"not found",0)</f>
        <v>Pure Cycles Western 3-Speed - Women's - 2015/2016</v>
      </c>
      <c r="I501" s="1">
        <f t="shared" si="15"/>
        <v>448.93</v>
      </c>
    </row>
    <row r="502" spans="1:9" x14ac:dyDescent="0.2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 s="1">
        <f t="shared" si="14"/>
        <v>539.93000000000006</v>
      </c>
      <c r="H502" s="1" t="str">
        <f>_xlfn.XLOOKUP(C502,Product!A:A,Product!B:B,"not found",0)</f>
        <v>Electra Cruiser 1 (24-Inch) - 2016</v>
      </c>
      <c r="I502" s="1">
        <f t="shared" si="15"/>
        <v>539.93000000000006</v>
      </c>
    </row>
    <row r="503" spans="1:9" x14ac:dyDescent="0.2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 s="1">
        <f t="shared" si="14"/>
        <v>599.89</v>
      </c>
      <c r="H503" s="1" t="str">
        <f>_xlfn.XLOOKUP(C503,Product!A:A,Product!B:B,"not found",0)</f>
        <v>Electra Townie Original 7D EQ - 2016</v>
      </c>
      <c r="I503" s="1">
        <f t="shared" si="15"/>
        <v>599.89</v>
      </c>
    </row>
    <row r="504" spans="1:9" x14ac:dyDescent="0.2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 s="1">
        <f t="shared" si="14"/>
        <v>448.8</v>
      </c>
      <c r="H504" s="1" t="str">
        <f>_xlfn.XLOOKUP(C504,Product!A:A,Product!B:B,"not found",0)</f>
        <v>Pure Cycles Western 3-Speed - Women's - 2015/2016</v>
      </c>
      <c r="I504" s="1">
        <f t="shared" si="15"/>
        <v>448.8</v>
      </c>
    </row>
    <row r="505" spans="1:9" x14ac:dyDescent="0.2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 s="1">
        <f t="shared" si="14"/>
        <v>1099.78</v>
      </c>
      <c r="H505" s="1" t="str">
        <f>_xlfn.XLOOKUP(C505,Product!A:A,Product!B:B,"not found",0)</f>
        <v>Electra Townie Original 21D - 2016</v>
      </c>
      <c r="I505" s="1">
        <f t="shared" si="15"/>
        <v>1099.78</v>
      </c>
    </row>
    <row r="506" spans="1:9" x14ac:dyDescent="0.2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 s="1">
        <f t="shared" si="14"/>
        <v>1199.8800000000001</v>
      </c>
      <c r="H506" s="1" t="str">
        <f>_xlfn.XLOOKUP(C506,Product!A:A,Product!B:B,"not found",0)</f>
        <v>Electra Townie Original 7D EQ - Women's - 2016</v>
      </c>
      <c r="I506" s="1">
        <f t="shared" si="15"/>
        <v>1199.8800000000001</v>
      </c>
    </row>
    <row r="507" spans="1:9" x14ac:dyDescent="0.2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 s="1">
        <f t="shared" si="14"/>
        <v>599.91999999999996</v>
      </c>
      <c r="H507" s="1" t="str">
        <f>_xlfn.XLOOKUP(C507,Product!A:A,Product!B:B,"not found",0)</f>
        <v>Electra Townie Original 7D EQ - 2016</v>
      </c>
      <c r="I507" s="1">
        <f t="shared" si="15"/>
        <v>599.91999999999996</v>
      </c>
    </row>
    <row r="508" spans="1:9" x14ac:dyDescent="0.2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 s="1">
        <f t="shared" si="14"/>
        <v>1548.95</v>
      </c>
      <c r="H508" s="1" t="str">
        <f>_xlfn.XLOOKUP(C508,Product!A:A,Product!B:B,"not found",0)</f>
        <v>Surly Straggler - 2016</v>
      </c>
      <c r="I508" s="1">
        <f t="shared" si="15"/>
        <v>1548.95</v>
      </c>
    </row>
    <row r="509" spans="1:9" x14ac:dyDescent="0.2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 s="1">
        <f t="shared" si="14"/>
        <v>1680.89</v>
      </c>
      <c r="H509" s="1" t="str">
        <f>_xlfn.XLOOKUP(C509,Product!A:A,Product!B:B,"not found",0)</f>
        <v>Surly Straggler 650b - 2016</v>
      </c>
      <c r="I509" s="1">
        <f t="shared" si="15"/>
        <v>1680.89</v>
      </c>
    </row>
    <row r="510" spans="1:9" x14ac:dyDescent="0.2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 s="1">
        <f t="shared" si="14"/>
        <v>1059.78</v>
      </c>
      <c r="H510" s="1" t="str">
        <f>_xlfn.XLOOKUP(C510,Product!A:A,Product!B:B,"not found",0)</f>
        <v>Electra Moto 1 - 2016</v>
      </c>
      <c r="I510" s="1">
        <f t="shared" si="15"/>
        <v>1059.78</v>
      </c>
    </row>
    <row r="511" spans="1:9" x14ac:dyDescent="0.2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 s="1">
        <f t="shared" si="14"/>
        <v>1099.93</v>
      </c>
      <c r="H511" s="1" t="str">
        <f>_xlfn.XLOOKUP(C511,Product!A:A,Product!B:B,"not found",0)</f>
        <v>Electra Townie Original 21D - 2016</v>
      </c>
      <c r="I511" s="1">
        <f t="shared" si="15"/>
        <v>1099.93</v>
      </c>
    </row>
    <row r="512" spans="1:9" x14ac:dyDescent="0.2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 s="1">
        <f t="shared" si="14"/>
        <v>999.93000000000006</v>
      </c>
      <c r="H512" s="1" t="str">
        <f>_xlfn.XLOOKUP(C512,Product!A:A,Product!B:B,"not found",0)</f>
        <v>Electra Townie Original 7D - 2015/2016</v>
      </c>
      <c r="I512" s="1">
        <f t="shared" si="15"/>
        <v>999.93000000000006</v>
      </c>
    </row>
    <row r="513" spans="1:9" x14ac:dyDescent="0.2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 s="1">
        <f t="shared" si="14"/>
        <v>1099.9100000000001</v>
      </c>
      <c r="H513" s="1" t="str">
        <f>_xlfn.XLOOKUP(C513,Product!A:A,Product!B:B,"not found",0)</f>
        <v>Electra Townie Original 21D - 2016</v>
      </c>
      <c r="I513" s="1">
        <f t="shared" si="15"/>
        <v>1099.9100000000001</v>
      </c>
    </row>
    <row r="514" spans="1:9" x14ac:dyDescent="0.2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 s="1">
        <f t="shared" si="14"/>
        <v>3361.78</v>
      </c>
      <c r="H514" s="1" t="str">
        <f>_xlfn.XLOOKUP(C514,Product!A:A,Product!B:B,"not found",0)</f>
        <v>Surly Straggler 650b - 2016</v>
      </c>
      <c r="I514" s="1">
        <f t="shared" si="15"/>
        <v>3361.78</v>
      </c>
    </row>
    <row r="515" spans="1:9" x14ac:dyDescent="0.2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 s="1">
        <f t="shared" ref="G515:G578" si="16">(E515*D515)-F515</f>
        <v>1099.93</v>
      </c>
      <c r="H515" s="1" t="str">
        <f>_xlfn.XLOOKUP(C515,Product!A:A,Product!B:B,"not found",0)</f>
        <v>Electra Townie Original 21D - 2016</v>
      </c>
      <c r="I515" s="1">
        <f t="shared" ref="I515:I578" si="17">(D515*E515)-F515</f>
        <v>1099.93</v>
      </c>
    </row>
    <row r="516" spans="1:9" x14ac:dyDescent="0.2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 s="1">
        <f t="shared" si="16"/>
        <v>448.93</v>
      </c>
      <c r="H516" s="1" t="str">
        <f>_xlfn.XLOOKUP(C516,Product!A:A,Product!B:B,"not found",0)</f>
        <v>Pure Cycles William 3-Speed - 2016</v>
      </c>
      <c r="I516" s="1">
        <f t="shared" si="17"/>
        <v>448.93</v>
      </c>
    </row>
    <row r="517" spans="1:9" x14ac:dyDescent="0.2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 s="1">
        <f t="shared" si="16"/>
        <v>428.93</v>
      </c>
      <c r="H517" s="1" t="str">
        <f>_xlfn.XLOOKUP(C517,Product!A:A,Product!B:B,"not found",0)</f>
        <v>Pure Cycles Vine 8-Speed - 2016</v>
      </c>
      <c r="I517" s="1">
        <f t="shared" si="17"/>
        <v>428.93</v>
      </c>
    </row>
    <row r="518" spans="1:9" x14ac:dyDescent="0.2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 s="1">
        <f t="shared" si="16"/>
        <v>2899.79</v>
      </c>
      <c r="H518" s="1" t="str">
        <f>_xlfn.XLOOKUP(C518,Product!A:A,Product!B:B,"not found",0)</f>
        <v>Trek Fuel EX 8 29 - 2016</v>
      </c>
      <c r="I518" s="1">
        <f t="shared" si="17"/>
        <v>2899.79</v>
      </c>
    </row>
    <row r="519" spans="1:9" x14ac:dyDescent="0.2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 s="1">
        <f t="shared" si="16"/>
        <v>1320.89</v>
      </c>
      <c r="H519" s="1" t="str">
        <f>_xlfn.XLOOKUP(C519,Product!A:A,Product!B:B,"not found",0)</f>
        <v>Heller Shagamaw Frame - 2016</v>
      </c>
      <c r="I519" s="1">
        <f t="shared" si="17"/>
        <v>1320.89</v>
      </c>
    </row>
    <row r="520" spans="1:9" x14ac:dyDescent="0.2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 s="1">
        <f t="shared" si="16"/>
        <v>269.89</v>
      </c>
      <c r="H520" s="1" t="str">
        <f>_xlfn.XLOOKUP(C520,Product!A:A,Product!B:B,"not found",0)</f>
        <v>Electra Girl's Hawaii 1 (16-inch) - 2015/2016</v>
      </c>
      <c r="I520" s="1">
        <f t="shared" si="17"/>
        <v>269.89</v>
      </c>
    </row>
    <row r="521" spans="1:9" x14ac:dyDescent="0.2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 s="1">
        <f t="shared" si="16"/>
        <v>599.89</v>
      </c>
      <c r="H521" s="1" t="str">
        <f>_xlfn.XLOOKUP(C521,Product!A:A,Product!B:B,"not found",0)</f>
        <v>Electra Townie Original 7D EQ - Women's - 2016</v>
      </c>
      <c r="I521" s="1">
        <f t="shared" si="17"/>
        <v>599.89</v>
      </c>
    </row>
    <row r="522" spans="1:9" x14ac:dyDescent="0.2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 s="1">
        <f t="shared" si="16"/>
        <v>1799.94</v>
      </c>
      <c r="H522" s="1" t="str">
        <f>_xlfn.XLOOKUP(C522,Product!A:A,Product!B:B,"not found",0)</f>
        <v>Trek Remedy 29 Carbon Frameset - 2016</v>
      </c>
      <c r="I522" s="1">
        <f t="shared" si="17"/>
        <v>1799.94</v>
      </c>
    </row>
    <row r="523" spans="1:9" x14ac:dyDescent="0.2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 s="1">
        <f t="shared" si="16"/>
        <v>2899.89</v>
      </c>
      <c r="H523" s="1" t="str">
        <f>_xlfn.XLOOKUP(C523,Product!A:A,Product!B:B,"not found",0)</f>
        <v>Trek Fuel EX 8 29 - 2016</v>
      </c>
      <c r="I523" s="1">
        <f t="shared" si="17"/>
        <v>2899.89</v>
      </c>
    </row>
    <row r="524" spans="1:9" x14ac:dyDescent="0.2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 s="1">
        <f t="shared" si="16"/>
        <v>469.89</v>
      </c>
      <c r="H524" s="1" t="str">
        <f>_xlfn.XLOOKUP(C524,Product!A:A,Product!B:B,"not found",0)</f>
        <v>Surly Ice Cream Truck Frameset - 2016</v>
      </c>
      <c r="I524" s="1">
        <f t="shared" si="17"/>
        <v>469.89</v>
      </c>
    </row>
    <row r="525" spans="1:9" x14ac:dyDescent="0.2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 s="1">
        <f t="shared" si="16"/>
        <v>1320.94</v>
      </c>
      <c r="H525" s="1" t="str">
        <f>_xlfn.XLOOKUP(C525,Product!A:A,Product!B:B,"not found",0)</f>
        <v>Heller Shagamaw Frame - 2016</v>
      </c>
      <c r="I525" s="1">
        <f t="shared" si="17"/>
        <v>1320.94</v>
      </c>
    </row>
    <row r="526" spans="1:9" x14ac:dyDescent="0.2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 s="1">
        <f t="shared" si="16"/>
        <v>7999.91</v>
      </c>
      <c r="H526" s="1" t="str">
        <f>_xlfn.XLOOKUP(C526,Product!A:A,Product!B:B,"not found",0)</f>
        <v>Trek Slash 8 27.5 - 2016</v>
      </c>
      <c r="I526" s="1">
        <f t="shared" si="17"/>
        <v>7999.91</v>
      </c>
    </row>
    <row r="527" spans="1:9" x14ac:dyDescent="0.2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 s="1">
        <f t="shared" si="16"/>
        <v>1199.78</v>
      </c>
      <c r="H527" s="1" t="str">
        <f>_xlfn.XLOOKUP(C527,Product!A:A,Product!B:B,"not found",0)</f>
        <v>Electra Townie Original 7D EQ - 2016</v>
      </c>
      <c r="I527" s="1">
        <f t="shared" si="17"/>
        <v>1199.78</v>
      </c>
    </row>
    <row r="528" spans="1:9" x14ac:dyDescent="0.2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 s="1">
        <f t="shared" si="16"/>
        <v>549.94000000000005</v>
      </c>
      <c r="H528" s="1" t="str">
        <f>_xlfn.XLOOKUP(C528,Product!A:A,Product!B:B,"not found",0)</f>
        <v>Electra Townie Original 21D - 2016</v>
      </c>
      <c r="I528" s="1">
        <f t="shared" si="17"/>
        <v>549.94000000000005</v>
      </c>
    </row>
    <row r="529" spans="1:9" x14ac:dyDescent="0.2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 s="1">
        <f t="shared" si="16"/>
        <v>529.79</v>
      </c>
      <c r="H529" s="1" t="str">
        <f>_xlfn.XLOOKUP(C529,Product!A:A,Product!B:B,"not found",0)</f>
        <v>Electra Moto 1 - 2016</v>
      </c>
      <c r="I529" s="1">
        <f t="shared" si="17"/>
        <v>529.79</v>
      </c>
    </row>
    <row r="530" spans="1:9" x14ac:dyDescent="0.2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 s="1">
        <f t="shared" si="16"/>
        <v>1999.78</v>
      </c>
      <c r="H530" s="1" t="str">
        <f>_xlfn.XLOOKUP(C530,Product!A:A,Product!B:B,"not found",0)</f>
        <v>Surly Wednesday Frameset - 2016</v>
      </c>
      <c r="I530" s="1">
        <f t="shared" si="17"/>
        <v>1999.78</v>
      </c>
    </row>
    <row r="531" spans="1:9" x14ac:dyDescent="0.2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 s="1">
        <f t="shared" si="16"/>
        <v>499.94</v>
      </c>
      <c r="H531" s="1" t="str">
        <f>_xlfn.XLOOKUP(C531,Product!A:A,Product!B:B,"not found",0)</f>
        <v>Electra Townie Original 7D - 2015/2016</v>
      </c>
      <c r="I531" s="1">
        <f t="shared" si="17"/>
        <v>499.94</v>
      </c>
    </row>
    <row r="532" spans="1:9" x14ac:dyDescent="0.2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 s="1">
        <f t="shared" si="16"/>
        <v>1099.78</v>
      </c>
      <c r="H532" s="1" t="str">
        <f>_xlfn.XLOOKUP(C532,Product!A:A,Product!B:B,"not found",0)</f>
        <v>Electra Townie Original 21D - 2016</v>
      </c>
      <c r="I532" s="1">
        <f t="shared" si="17"/>
        <v>1099.78</v>
      </c>
    </row>
    <row r="533" spans="1:9" x14ac:dyDescent="0.2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 s="1">
        <f t="shared" si="16"/>
        <v>999.92</v>
      </c>
      <c r="H533" s="1" t="str">
        <f>_xlfn.XLOOKUP(C533,Product!A:A,Product!B:B,"not found",0)</f>
        <v>Surly Wednesday Frameset - 2016</v>
      </c>
      <c r="I533" s="1">
        <f t="shared" si="17"/>
        <v>999.92</v>
      </c>
    </row>
    <row r="534" spans="1:9" x14ac:dyDescent="0.2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 s="1">
        <f t="shared" si="16"/>
        <v>3599.93</v>
      </c>
      <c r="H534" s="1" t="str">
        <f>_xlfn.XLOOKUP(C534,Product!A:A,Product!B:B,"not found",0)</f>
        <v>Trek Remedy 29 Carbon Frameset - 2016</v>
      </c>
      <c r="I534" s="1">
        <f t="shared" si="17"/>
        <v>3599.93</v>
      </c>
    </row>
    <row r="535" spans="1:9" x14ac:dyDescent="0.2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 s="1">
        <f t="shared" si="16"/>
        <v>299.94</v>
      </c>
      <c r="H535" s="1" t="str">
        <f>_xlfn.XLOOKUP(C535,Product!A:A,Product!B:B,"not found",0)</f>
        <v>Electra Girl's Hawaii 1 (20-inch) - 2015/2016</v>
      </c>
      <c r="I535" s="1">
        <f t="shared" si="17"/>
        <v>299.94</v>
      </c>
    </row>
    <row r="536" spans="1:9" x14ac:dyDescent="0.2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 s="1">
        <f t="shared" si="16"/>
        <v>3599.88</v>
      </c>
      <c r="H536" s="1" t="str">
        <f>_xlfn.XLOOKUP(C536,Product!A:A,Product!B:B,"not found",0)</f>
        <v>Trek Remedy 29 Carbon Frameset - 2016</v>
      </c>
      <c r="I536" s="1">
        <f t="shared" si="17"/>
        <v>3599.88</v>
      </c>
    </row>
    <row r="537" spans="1:9" x14ac:dyDescent="0.2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 s="1">
        <f t="shared" si="16"/>
        <v>499.92</v>
      </c>
      <c r="H537" s="1" t="str">
        <f>_xlfn.XLOOKUP(C537,Product!A:A,Product!B:B,"not found",0)</f>
        <v>Electra Townie Original 7D - 2015/2016</v>
      </c>
      <c r="I537" s="1">
        <f t="shared" si="17"/>
        <v>499.92</v>
      </c>
    </row>
    <row r="538" spans="1:9" x14ac:dyDescent="0.2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 s="1">
        <f t="shared" si="16"/>
        <v>749.94</v>
      </c>
      <c r="H538" s="1" t="str">
        <f>_xlfn.XLOOKUP(C538,Product!A:A,Product!B:B,"not found",0)</f>
        <v>Ritchey Timberwolf Frameset - 2016</v>
      </c>
      <c r="I538" s="1">
        <f t="shared" si="17"/>
        <v>749.94</v>
      </c>
    </row>
    <row r="539" spans="1:9" x14ac:dyDescent="0.2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 s="1">
        <f t="shared" si="16"/>
        <v>1099.9100000000001</v>
      </c>
      <c r="H539" s="1" t="str">
        <f>_xlfn.XLOOKUP(C539,Product!A:A,Product!B:B,"not found",0)</f>
        <v>Electra Townie Original 21D - 2016</v>
      </c>
      <c r="I539" s="1">
        <f t="shared" si="17"/>
        <v>1099.9100000000001</v>
      </c>
    </row>
    <row r="540" spans="1:9" x14ac:dyDescent="0.2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 s="1">
        <f t="shared" si="16"/>
        <v>3097.8</v>
      </c>
      <c r="H540" s="1" t="str">
        <f>_xlfn.XLOOKUP(C540,Product!A:A,Product!B:B,"not found",0)</f>
        <v>Surly Straggler - 2016</v>
      </c>
      <c r="I540" s="1">
        <f t="shared" si="17"/>
        <v>3097.8</v>
      </c>
    </row>
    <row r="541" spans="1:9" x14ac:dyDescent="0.2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 s="1">
        <f t="shared" si="16"/>
        <v>1099.8800000000001</v>
      </c>
      <c r="H541" s="1" t="str">
        <f>_xlfn.XLOOKUP(C541,Product!A:A,Product!B:B,"not found",0)</f>
        <v>Electra Townie Original 21D - 2016</v>
      </c>
      <c r="I541" s="1">
        <f t="shared" si="17"/>
        <v>1099.8800000000001</v>
      </c>
    </row>
    <row r="542" spans="1:9" x14ac:dyDescent="0.2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 s="1">
        <f t="shared" si="16"/>
        <v>539.78</v>
      </c>
      <c r="H542" s="1" t="str">
        <f>_xlfn.XLOOKUP(C542,Product!A:A,Product!B:B,"not found",0)</f>
        <v>Electra Cruiser 1 (24-Inch) - 2016</v>
      </c>
      <c r="I542" s="1">
        <f t="shared" si="17"/>
        <v>539.78</v>
      </c>
    </row>
    <row r="543" spans="1:9" x14ac:dyDescent="0.2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 s="1">
        <f t="shared" si="16"/>
        <v>448.8</v>
      </c>
      <c r="H543" s="1" t="str">
        <f>_xlfn.XLOOKUP(C543,Product!A:A,Product!B:B,"not found",0)</f>
        <v>Pure Cycles Western 3-Speed - Women's - 2015/2016</v>
      </c>
      <c r="I543" s="1">
        <f t="shared" si="17"/>
        <v>448.8</v>
      </c>
    </row>
    <row r="544" spans="1:9" x14ac:dyDescent="0.2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 s="1">
        <f t="shared" si="16"/>
        <v>269.94</v>
      </c>
      <c r="H544" s="1" t="str">
        <f>_xlfn.XLOOKUP(C544,Product!A:A,Product!B:B,"not found",0)</f>
        <v>Electra Girl's Hawaii 1 (16-inch) - 2015/2016</v>
      </c>
      <c r="I544" s="1">
        <f t="shared" si="17"/>
        <v>269.94</v>
      </c>
    </row>
    <row r="545" spans="1:9" x14ac:dyDescent="0.2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 s="1">
        <f t="shared" si="16"/>
        <v>2641.78</v>
      </c>
      <c r="H545" s="1" t="str">
        <f>_xlfn.XLOOKUP(C545,Product!A:A,Product!B:B,"not found",0)</f>
        <v>Heller Shagamaw Frame - 2016</v>
      </c>
      <c r="I545" s="1">
        <f t="shared" si="17"/>
        <v>2641.78</v>
      </c>
    </row>
    <row r="546" spans="1:9" x14ac:dyDescent="0.2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 s="1">
        <f t="shared" si="16"/>
        <v>5799.78</v>
      </c>
      <c r="H546" s="1" t="str">
        <f>_xlfn.XLOOKUP(C546,Product!A:A,Product!B:B,"not found",0)</f>
        <v>Trek Fuel EX 8 29 - 2016</v>
      </c>
      <c r="I546" s="1">
        <f t="shared" si="17"/>
        <v>5799.78</v>
      </c>
    </row>
    <row r="547" spans="1:9" x14ac:dyDescent="0.2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 s="1">
        <f t="shared" si="16"/>
        <v>539.88</v>
      </c>
      <c r="H547" s="1" t="str">
        <f>_xlfn.XLOOKUP(C547,Product!A:A,Product!B:B,"not found",0)</f>
        <v>Electra Cruiser 1 (24-Inch) - 2016</v>
      </c>
      <c r="I547" s="1">
        <f t="shared" si="17"/>
        <v>539.88</v>
      </c>
    </row>
    <row r="548" spans="1:9" x14ac:dyDescent="0.2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 s="1">
        <f t="shared" si="16"/>
        <v>469.94</v>
      </c>
      <c r="H548" s="1" t="str">
        <f>_xlfn.XLOOKUP(C548,Product!A:A,Product!B:B,"not found",0)</f>
        <v>Surly Ice Cream Truck Frameset - 2016</v>
      </c>
      <c r="I548" s="1">
        <f t="shared" si="17"/>
        <v>469.94</v>
      </c>
    </row>
    <row r="549" spans="1:9" x14ac:dyDescent="0.2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 s="1">
        <f t="shared" si="16"/>
        <v>1999.91</v>
      </c>
      <c r="H549" s="1" t="str">
        <f>_xlfn.XLOOKUP(C549,Product!A:A,Product!B:B,"not found",0)</f>
        <v>Surly Wednesday Frameset - 2016</v>
      </c>
      <c r="I549" s="1">
        <f t="shared" si="17"/>
        <v>1999.91</v>
      </c>
    </row>
    <row r="550" spans="1:9" x14ac:dyDescent="0.2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 s="1">
        <f t="shared" si="16"/>
        <v>3097.93</v>
      </c>
      <c r="H550" s="1" t="str">
        <f>_xlfn.XLOOKUP(C550,Product!A:A,Product!B:B,"not found",0)</f>
        <v>Surly Straggler - 2016</v>
      </c>
      <c r="I550" s="1">
        <f t="shared" si="17"/>
        <v>3097.93</v>
      </c>
    </row>
    <row r="551" spans="1:9" x14ac:dyDescent="0.2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 s="1">
        <f t="shared" si="16"/>
        <v>549.91999999999996</v>
      </c>
      <c r="H551" s="1" t="str">
        <f>_xlfn.XLOOKUP(C551,Product!A:A,Product!B:B,"not found",0)</f>
        <v>Electra Townie Original 21D - 2016</v>
      </c>
      <c r="I551" s="1">
        <f t="shared" si="17"/>
        <v>549.91999999999996</v>
      </c>
    </row>
    <row r="552" spans="1:9" x14ac:dyDescent="0.2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 s="1">
        <f t="shared" si="16"/>
        <v>599.89</v>
      </c>
      <c r="H552" s="1" t="str">
        <f>_xlfn.XLOOKUP(C552,Product!A:A,Product!B:B,"not found",0)</f>
        <v>Electra Townie Original 7D EQ - Women's - 2016</v>
      </c>
      <c r="I552" s="1">
        <f t="shared" si="17"/>
        <v>599.89</v>
      </c>
    </row>
    <row r="553" spans="1:9" x14ac:dyDescent="0.2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 s="1">
        <f t="shared" si="16"/>
        <v>5799.78</v>
      </c>
      <c r="H553" s="1" t="str">
        <f>_xlfn.XLOOKUP(C553,Product!A:A,Product!B:B,"not found",0)</f>
        <v>Trek Fuel EX 8 29 - 2016</v>
      </c>
      <c r="I553" s="1">
        <f t="shared" si="17"/>
        <v>5799.78</v>
      </c>
    </row>
    <row r="554" spans="1:9" x14ac:dyDescent="0.2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 s="1">
        <f t="shared" si="16"/>
        <v>1499.91</v>
      </c>
      <c r="H554" s="1" t="str">
        <f>_xlfn.XLOOKUP(C554,Product!A:A,Product!B:B,"not found",0)</f>
        <v>Ritchey Timberwolf Frameset - 2016</v>
      </c>
      <c r="I554" s="1">
        <f t="shared" si="17"/>
        <v>1499.91</v>
      </c>
    </row>
    <row r="555" spans="1:9" x14ac:dyDescent="0.2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 s="1">
        <f t="shared" si="16"/>
        <v>939.93000000000006</v>
      </c>
      <c r="H555" s="1" t="str">
        <f>_xlfn.XLOOKUP(C555,Product!A:A,Product!B:B,"not found",0)</f>
        <v>Surly Ice Cream Truck Frameset - 2016</v>
      </c>
      <c r="I555" s="1">
        <f t="shared" si="17"/>
        <v>939.93000000000006</v>
      </c>
    </row>
    <row r="556" spans="1:9" x14ac:dyDescent="0.2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 s="1">
        <f t="shared" si="16"/>
        <v>1199.9100000000001</v>
      </c>
      <c r="H556" s="1" t="str">
        <f>_xlfn.XLOOKUP(C556,Product!A:A,Product!B:B,"not found",0)</f>
        <v>Electra Townie Original 7D EQ - Women's - 2016</v>
      </c>
      <c r="I556" s="1">
        <f t="shared" si="17"/>
        <v>1199.9100000000001</v>
      </c>
    </row>
    <row r="557" spans="1:9" x14ac:dyDescent="0.2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 s="1">
        <f t="shared" si="16"/>
        <v>3599.78</v>
      </c>
      <c r="H557" s="1" t="str">
        <f>_xlfn.XLOOKUP(C557,Product!A:A,Product!B:B,"not found",0)</f>
        <v>Trek Remedy 29 Carbon Frameset - 2016</v>
      </c>
      <c r="I557" s="1">
        <f t="shared" si="17"/>
        <v>3599.78</v>
      </c>
    </row>
    <row r="558" spans="1:9" x14ac:dyDescent="0.2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 s="1">
        <f t="shared" si="16"/>
        <v>539.93000000000006</v>
      </c>
      <c r="H558" s="1" t="str">
        <f>_xlfn.XLOOKUP(C558,Product!A:A,Product!B:B,"not found",0)</f>
        <v>Electra Cruiser 1 (24-Inch) - 2016</v>
      </c>
      <c r="I558" s="1">
        <f t="shared" si="17"/>
        <v>539.93000000000006</v>
      </c>
    </row>
    <row r="559" spans="1:9" x14ac:dyDescent="0.2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 s="1">
        <f t="shared" si="16"/>
        <v>428.95</v>
      </c>
      <c r="H559" s="1" t="str">
        <f>_xlfn.XLOOKUP(C559,Product!A:A,Product!B:B,"not found",0)</f>
        <v>Pure Cycles Vine 8-Speed - 2016</v>
      </c>
      <c r="I559" s="1">
        <f t="shared" si="17"/>
        <v>428.95</v>
      </c>
    </row>
    <row r="560" spans="1:9" x14ac:dyDescent="0.2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 s="1">
        <f t="shared" si="16"/>
        <v>999.93000000000006</v>
      </c>
      <c r="H560" s="1" t="str">
        <f>_xlfn.XLOOKUP(C560,Product!A:A,Product!B:B,"not found",0)</f>
        <v>Electra Townie Original 7D - 2015/2016</v>
      </c>
      <c r="I560" s="1">
        <f t="shared" si="17"/>
        <v>999.93000000000006</v>
      </c>
    </row>
    <row r="561" spans="1:9" x14ac:dyDescent="0.2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 s="1">
        <f t="shared" si="16"/>
        <v>897.93</v>
      </c>
      <c r="H561" s="1" t="str">
        <f>_xlfn.XLOOKUP(C561,Product!A:A,Product!B:B,"not found",0)</f>
        <v>Pure Cycles Western 3-Speed - Women's - 2015/2016</v>
      </c>
      <c r="I561" s="1">
        <f t="shared" si="17"/>
        <v>897.93</v>
      </c>
    </row>
    <row r="562" spans="1:9" x14ac:dyDescent="0.2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 s="1">
        <f t="shared" si="16"/>
        <v>2899.79</v>
      </c>
      <c r="H562" s="1" t="str">
        <f>_xlfn.XLOOKUP(C562,Product!A:A,Product!B:B,"not found",0)</f>
        <v>Trek Fuel EX 8 29 - 2016</v>
      </c>
      <c r="I562" s="1">
        <f t="shared" si="17"/>
        <v>2899.79</v>
      </c>
    </row>
    <row r="563" spans="1:9" x14ac:dyDescent="0.2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 s="1">
        <f t="shared" si="16"/>
        <v>599.93000000000006</v>
      </c>
      <c r="H563" s="1" t="str">
        <f>_xlfn.XLOOKUP(C563,Product!A:A,Product!B:B,"not found",0)</f>
        <v>Electra Girl's Hawaii 1 (20-inch) - 2015/2016</v>
      </c>
      <c r="I563" s="1">
        <f t="shared" si="17"/>
        <v>599.93000000000006</v>
      </c>
    </row>
    <row r="564" spans="1:9" x14ac:dyDescent="0.2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 s="1">
        <f t="shared" si="16"/>
        <v>539.91</v>
      </c>
      <c r="H564" s="1" t="str">
        <f>_xlfn.XLOOKUP(C564,Product!A:A,Product!B:B,"not found",0)</f>
        <v>Electra Girl's Hawaii 1 (16-inch) - 2015/2016</v>
      </c>
      <c r="I564" s="1">
        <f t="shared" si="17"/>
        <v>539.91</v>
      </c>
    </row>
    <row r="565" spans="1:9" x14ac:dyDescent="0.2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 s="1">
        <f t="shared" si="16"/>
        <v>549.94000000000005</v>
      </c>
      <c r="H565" s="1" t="str">
        <f>_xlfn.XLOOKUP(C565,Product!A:A,Product!B:B,"not found",0)</f>
        <v>Electra Townie Original 21D - 2016</v>
      </c>
      <c r="I565" s="1">
        <f t="shared" si="17"/>
        <v>549.94000000000005</v>
      </c>
    </row>
    <row r="566" spans="1:9" x14ac:dyDescent="0.2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 s="1">
        <f t="shared" si="16"/>
        <v>3999.79</v>
      </c>
      <c r="H566" s="1" t="str">
        <f>_xlfn.XLOOKUP(C566,Product!A:A,Product!B:B,"not found",0)</f>
        <v>Trek Slash 8 27.5 - 2016</v>
      </c>
      <c r="I566" s="1">
        <f t="shared" si="17"/>
        <v>3999.79</v>
      </c>
    </row>
    <row r="567" spans="1:9" x14ac:dyDescent="0.2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 s="1">
        <f t="shared" si="16"/>
        <v>539.88</v>
      </c>
      <c r="H567" s="1" t="str">
        <f>_xlfn.XLOOKUP(C567,Product!A:A,Product!B:B,"not found",0)</f>
        <v>Electra Girl's Hawaii 1 (16-inch) - 2015/2016</v>
      </c>
      <c r="I567" s="1">
        <f t="shared" si="17"/>
        <v>539.88</v>
      </c>
    </row>
    <row r="568" spans="1:9" x14ac:dyDescent="0.2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 s="1">
        <f t="shared" si="16"/>
        <v>428.95</v>
      </c>
      <c r="H568" s="1" t="str">
        <f>_xlfn.XLOOKUP(C568,Product!A:A,Product!B:B,"not found",0)</f>
        <v>Pure Cycles Vine 8-Speed - 2016</v>
      </c>
      <c r="I568" s="1">
        <f t="shared" si="17"/>
        <v>428.95</v>
      </c>
    </row>
    <row r="569" spans="1:9" x14ac:dyDescent="0.2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 s="1">
        <f t="shared" si="16"/>
        <v>1799.92</v>
      </c>
      <c r="H569" s="1" t="str">
        <f>_xlfn.XLOOKUP(C569,Product!A:A,Product!B:B,"not found",0)</f>
        <v>Trek Remedy 29 Carbon Frameset - 2016</v>
      </c>
      <c r="I569" s="1">
        <f t="shared" si="17"/>
        <v>1799.92</v>
      </c>
    </row>
    <row r="570" spans="1:9" x14ac:dyDescent="0.2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 s="1">
        <f t="shared" si="16"/>
        <v>428.95</v>
      </c>
      <c r="H570" s="1" t="str">
        <f>_xlfn.XLOOKUP(C570,Product!A:A,Product!B:B,"not found",0)</f>
        <v>Pure Cycles Vine 8-Speed - 2016</v>
      </c>
      <c r="I570" s="1">
        <f t="shared" si="17"/>
        <v>428.95</v>
      </c>
    </row>
    <row r="571" spans="1:9" x14ac:dyDescent="0.2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 s="1">
        <f t="shared" si="16"/>
        <v>1059.93</v>
      </c>
      <c r="H571" s="1" t="str">
        <f>_xlfn.XLOOKUP(C571,Product!A:A,Product!B:B,"not found",0)</f>
        <v>Electra Moto 1 - 2016</v>
      </c>
      <c r="I571" s="1">
        <f t="shared" si="17"/>
        <v>1059.93</v>
      </c>
    </row>
    <row r="572" spans="1:9" x14ac:dyDescent="0.2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 s="1">
        <f t="shared" si="16"/>
        <v>999.93000000000006</v>
      </c>
      <c r="H572" s="1" t="str">
        <f>_xlfn.XLOOKUP(C572,Product!A:A,Product!B:B,"not found",0)</f>
        <v>Electra Townie Original 7D - 2015/2016</v>
      </c>
      <c r="I572" s="1">
        <f t="shared" si="17"/>
        <v>999.93000000000006</v>
      </c>
    </row>
    <row r="573" spans="1:9" x14ac:dyDescent="0.2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 s="1">
        <f t="shared" si="16"/>
        <v>599.94000000000005</v>
      </c>
      <c r="H573" s="1" t="str">
        <f>_xlfn.XLOOKUP(C573,Product!A:A,Product!B:B,"not found",0)</f>
        <v>Electra Townie Original 7D EQ - 2016</v>
      </c>
      <c r="I573" s="1">
        <f t="shared" si="17"/>
        <v>599.94000000000005</v>
      </c>
    </row>
    <row r="574" spans="1:9" x14ac:dyDescent="0.2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 s="1">
        <f t="shared" si="16"/>
        <v>1999.88</v>
      </c>
      <c r="H574" s="1" t="str">
        <f>_xlfn.XLOOKUP(C574,Product!A:A,Product!B:B,"not found",0)</f>
        <v>Surly Wednesday Frameset - 2016</v>
      </c>
      <c r="I574" s="1">
        <f t="shared" si="17"/>
        <v>1999.88</v>
      </c>
    </row>
    <row r="575" spans="1:9" x14ac:dyDescent="0.2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 s="1">
        <f t="shared" si="16"/>
        <v>857.8</v>
      </c>
      <c r="H575" s="1" t="str">
        <f>_xlfn.XLOOKUP(C575,Product!A:A,Product!B:B,"not found",0)</f>
        <v>Pure Cycles Vine 8-Speed - 2016</v>
      </c>
      <c r="I575" s="1">
        <f t="shared" si="17"/>
        <v>857.8</v>
      </c>
    </row>
    <row r="576" spans="1:9" x14ac:dyDescent="0.2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 s="1">
        <f t="shared" si="16"/>
        <v>897.93</v>
      </c>
      <c r="H576" s="1" t="str">
        <f>_xlfn.XLOOKUP(C576,Product!A:A,Product!B:B,"not found",0)</f>
        <v>Pure Cycles William 3-Speed - 2016</v>
      </c>
      <c r="I576" s="1">
        <f t="shared" si="17"/>
        <v>897.93</v>
      </c>
    </row>
    <row r="577" spans="1:9" x14ac:dyDescent="0.2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 s="1">
        <f t="shared" si="16"/>
        <v>939.91</v>
      </c>
      <c r="H577" s="1" t="str">
        <f>_xlfn.XLOOKUP(C577,Product!A:A,Product!B:B,"not found",0)</f>
        <v>Surly Ice Cream Truck Frameset - 2016</v>
      </c>
      <c r="I577" s="1">
        <f t="shared" si="17"/>
        <v>939.91</v>
      </c>
    </row>
    <row r="578" spans="1:9" x14ac:dyDescent="0.2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 s="1">
        <f t="shared" si="16"/>
        <v>857.9</v>
      </c>
      <c r="H578" s="1" t="str">
        <f>_xlfn.XLOOKUP(C578,Product!A:A,Product!B:B,"not found",0)</f>
        <v>Pure Cycles Vine 8-Speed - 2016</v>
      </c>
      <c r="I578" s="1">
        <f t="shared" si="17"/>
        <v>857.9</v>
      </c>
    </row>
    <row r="579" spans="1:9" x14ac:dyDescent="0.2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 s="1">
        <f t="shared" ref="G579:G642" si="18">(E579*D579)-F579</f>
        <v>539.93000000000006</v>
      </c>
      <c r="H579" s="1" t="str">
        <f>_xlfn.XLOOKUP(C579,Product!A:A,Product!B:B,"not found",0)</f>
        <v>Electra Girl's Hawaii 1 (16-inch) - 2015/2016</v>
      </c>
      <c r="I579" s="1">
        <f t="shared" ref="I579:I642" si="19">(D579*E579)-F579</f>
        <v>539.93000000000006</v>
      </c>
    </row>
    <row r="580" spans="1:9" x14ac:dyDescent="0.2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 s="1">
        <f t="shared" si="18"/>
        <v>1099.8800000000001</v>
      </c>
      <c r="H580" s="1" t="str">
        <f>_xlfn.XLOOKUP(C580,Product!A:A,Product!B:B,"not found",0)</f>
        <v>Electra Townie Original 21D - 2016</v>
      </c>
      <c r="I580" s="1">
        <f t="shared" si="19"/>
        <v>1099.8800000000001</v>
      </c>
    </row>
    <row r="581" spans="1:9" x14ac:dyDescent="0.2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 s="1">
        <f t="shared" si="18"/>
        <v>499.94</v>
      </c>
      <c r="H581" s="1" t="str">
        <f>_xlfn.XLOOKUP(C581,Product!A:A,Product!B:B,"not found",0)</f>
        <v>Electra Townie Original 7D - 2015/2016</v>
      </c>
      <c r="I581" s="1">
        <f t="shared" si="19"/>
        <v>499.94</v>
      </c>
    </row>
    <row r="582" spans="1:9" x14ac:dyDescent="0.2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 s="1">
        <f t="shared" si="18"/>
        <v>599.79</v>
      </c>
      <c r="H582" s="1" t="str">
        <f>_xlfn.XLOOKUP(C582,Product!A:A,Product!B:B,"not found",0)</f>
        <v>Electra Townie Original 7D EQ - Women's - 2016</v>
      </c>
      <c r="I582" s="1">
        <f t="shared" si="19"/>
        <v>599.79</v>
      </c>
    </row>
    <row r="583" spans="1:9" x14ac:dyDescent="0.2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 s="1">
        <f t="shared" si="18"/>
        <v>1099.78</v>
      </c>
      <c r="H583" s="1" t="str">
        <f>_xlfn.XLOOKUP(C583,Product!A:A,Product!B:B,"not found",0)</f>
        <v>Electra Townie Original 21D - 2016</v>
      </c>
      <c r="I583" s="1">
        <f t="shared" si="19"/>
        <v>1099.78</v>
      </c>
    </row>
    <row r="584" spans="1:9" x14ac:dyDescent="0.2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 s="1">
        <f t="shared" si="18"/>
        <v>1320.94</v>
      </c>
      <c r="H584" s="1" t="str">
        <f>_xlfn.XLOOKUP(C584,Product!A:A,Product!B:B,"not found",0)</f>
        <v>Heller Shagamaw Frame - 2016</v>
      </c>
      <c r="I584" s="1">
        <f t="shared" si="19"/>
        <v>1320.94</v>
      </c>
    </row>
    <row r="585" spans="1:9" x14ac:dyDescent="0.2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 s="1">
        <f t="shared" si="18"/>
        <v>3361.91</v>
      </c>
      <c r="H585" s="1" t="str">
        <f>_xlfn.XLOOKUP(C585,Product!A:A,Product!B:B,"not found",0)</f>
        <v>Surly Straggler 650b - 2016</v>
      </c>
      <c r="I585" s="1">
        <f t="shared" si="19"/>
        <v>3361.91</v>
      </c>
    </row>
    <row r="586" spans="1:9" x14ac:dyDescent="0.2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 s="1">
        <f t="shared" si="18"/>
        <v>7999.8799999999992</v>
      </c>
      <c r="H586" s="1" t="str">
        <f>_xlfn.XLOOKUP(C586,Product!A:A,Product!B:B,"not found",0)</f>
        <v>Trek Slash 8 27.5 - 2016</v>
      </c>
      <c r="I586" s="1">
        <f t="shared" si="19"/>
        <v>7999.8799999999992</v>
      </c>
    </row>
    <row r="587" spans="1:9" x14ac:dyDescent="0.2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 s="1">
        <f t="shared" si="18"/>
        <v>939.93000000000006</v>
      </c>
      <c r="H587" s="1" t="str">
        <f>_xlfn.XLOOKUP(C587,Product!A:A,Product!B:B,"not found",0)</f>
        <v>Surly Ice Cream Truck Frameset - 2016</v>
      </c>
      <c r="I587" s="1">
        <f t="shared" si="19"/>
        <v>939.93000000000006</v>
      </c>
    </row>
    <row r="588" spans="1:9" x14ac:dyDescent="0.2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 s="1">
        <f t="shared" si="18"/>
        <v>5799.91</v>
      </c>
      <c r="H588" s="1" t="str">
        <f>_xlfn.XLOOKUP(C588,Product!A:A,Product!B:B,"not found",0)</f>
        <v>Trek Fuel EX 8 29 - 2016</v>
      </c>
      <c r="I588" s="1">
        <f t="shared" si="19"/>
        <v>5799.91</v>
      </c>
    </row>
    <row r="589" spans="1:9" x14ac:dyDescent="0.2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 s="1">
        <f t="shared" si="18"/>
        <v>999.94</v>
      </c>
      <c r="H589" s="1" t="str">
        <f>_xlfn.XLOOKUP(C589,Product!A:A,Product!B:B,"not found",0)</f>
        <v>Surly Wednesday Frameset - 2016</v>
      </c>
      <c r="I589" s="1">
        <f t="shared" si="19"/>
        <v>999.94</v>
      </c>
    </row>
    <row r="590" spans="1:9" x14ac:dyDescent="0.2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 s="1">
        <f t="shared" si="18"/>
        <v>549.79</v>
      </c>
      <c r="H590" s="1" t="str">
        <f>_xlfn.XLOOKUP(C590,Product!A:A,Product!B:B,"not found",0)</f>
        <v>Electra Townie Original 21D - 2016</v>
      </c>
      <c r="I590" s="1">
        <f t="shared" si="19"/>
        <v>549.79</v>
      </c>
    </row>
    <row r="591" spans="1:9" x14ac:dyDescent="0.2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 s="1">
        <f t="shared" si="18"/>
        <v>3097.95</v>
      </c>
      <c r="H591" s="1" t="str">
        <f>_xlfn.XLOOKUP(C591,Product!A:A,Product!B:B,"not found",0)</f>
        <v>Surly Straggler - 2016</v>
      </c>
      <c r="I591" s="1">
        <f t="shared" si="19"/>
        <v>3097.95</v>
      </c>
    </row>
    <row r="592" spans="1:9" x14ac:dyDescent="0.2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 s="1">
        <f t="shared" si="18"/>
        <v>269.89</v>
      </c>
      <c r="H592" s="1" t="str">
        <f>_xlfn.XLOOKUP(C592,Product!A:A,Product!B:B,"not found",0)</f>
        <v>Electra Cruiser 1 (24-Inch) - 2016</v>
      </c>
      <c r="I592" s="1">
        <f t="shared" si="19"/>
        <v>269.89</v>
      </c>
    </row>
    <row r="593" spans="1:9" x14ac:dyDescent="0.2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 s="1">
        <f t="shared" si="18"/>
        <v>269.92</v>
      </c>
      <c r="H593" s="1" t="str">
        <f>_xlfn.XLOOKUP(C593,Product!A:A,Product!B:B,"not found",0)</f>
        <v>Electra Girl's Hawaii 1 (16-inch) - 2015/2016</v>
      </c>
      <c r="I593" s="1">
        <f t="shared" si="19"/>
        <v>269.92</v>
      </c>
    </row>
    <row r="594" spans="1:9" x14ac:dyDescent="0.2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 s="1">
        <f t="shared" si="18"/>
        <v>539.78</v>
      </c>
      <c r="H594" s="1" t="str">
        <f>_xlfn.XLOOKUP(C594,Product!A:A,Product!B:B,"not found",0)</f>
        <v>Electra Cruiser 1 (24-Inch) - 2016</v>
      </c>
      <c r="I594" s="1">
        <f t="shared" si="19"/>
        <v>539.78</v>
      </c>
    </row>
    <row r="595" spans="1:9" x14ac:dyDescent="0.2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 s="1">
        <f t="shared" si="18"/>
        <v>1548.93</v>
      </c>
      <c r="H595" s="1" t="str">
        <f>_xlfn.XLOOKUP(C595,Product!A:A,Product!B:B,"not found",0)</f>
        <v>Surly Straggler - 2016</v>
      </c>
      <c r="I595" s="1">
        <f t="shared" si="19"/>
        <v>1548.93</v>
      </c>
    </row>
    <row r="596" spans="1:9" x14ac:dyDescent="0.2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 s="1">
        <f t="shared" si="18"/>
        <v>1499.91</v>
      </c>
      <c r="H596" s="1" t="str">
        <f>_xlfn.XLOOKUP(C596,Product!A:A,Product!B:B,"not found",0)</f>
        <v>Ritchey Timberwolf Frameset - 2016</v>
      </c>
      <c r="I596" s="1">
        <f t="shared" si="19"/>
        <v>1499.91</v>
      </c>
    </row>
    <row r="597" spans="1:9" x14ac:dyDescent="0.2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 s="1">
        <f t="shared" si="18"/>
        <v>1199.9100000000001</v>
      </c>
      <c r="H597" s="1" t="str">
        <f>_xlfn.XLOOKUP(C597,Product!A:A,Product!B:B,"not found",0)</f>
        <v>Electra Townie Original 7D EQ - 2016</v>
      </c>
      <c r="I597" s="1">
        <f t="shared" si="19"/>
        <v>1199.9100000000001</v>
      </c>
    </row>
    <row r="598" spans="1:9" x14ac:dyDescent="0.2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 s="1">
        <f t="shared" si="18"/>
        <v>1099.78</v>
      </c>
      <c r="H598" s="1" t="str">
        <f>_xlfn.XLOOKUP(C598,Product!A:A,Product!B:B,"not found",0)</f>
        <v>Electra Townie Original 21D - 2016</v>
      </c>
      <c r="I598" s="1">
        <f t="shared" si="19"/>
        <v>1099.78</v>
      </c>
    </row>
    <row r="599" spans="1:9" x14ac:dyDescent="0.2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 s="1">
        <f t="shared" si="18"/>
        <v>448.9</v>
      </c>
      <c r="H599" s="1" t="str">
        <f>_xlfn.XLOOKUP(C599,Product!A:A,Product!B:B,"not found",0)</f>
        <v>Pure Cycles William 3-Speed - 2016</v>
      </c>
      <c r="I599" s="1">
        <f t="shared" si="19"/>
        <v>448.9</v>
      </c>
    </row>
    <row r="600" spans="1:9" x14ac:dyDescent="0.2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 s="1">
        <f t="shared" si="18"/>
        <v>3999.79</v>
      </c>
      <c r="H600" s="1" t="str">
        <f>_xlfn.XLOOKUP(C600,Product!A:A,Product!B:B,"not found",0)</f>
        <v>Trek Slash 8 27.5 - 2016</v>
      </c>
      <c r="I600" s="1">
        <f t="shared" si="19"/>
        <v>3999.79</v>
      </c>
    </row>
    <row r="601" spans="1:9" x14ac:dyDescent="0.2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 s="1">
        <f t="shared" si="18"/>
        <v>269.89</v>
      </c>
      <c r="H601" s="1" t="str">
        <f>_xlfn.XLOOKUP(C601,Product!A:A,Product!B:B,"not found",0)</f>
        <v>Electra Cruiser 1 (24-Inch) - 2016</v>
      </c>
      <c r="I601" s="1">
        <f t="shared" si="19"/>
        <v>269.89</v>
      </c>
    </row>
    <row r="602" spans="1:9" x14ac:dyDescent="0.2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 s="1">
        <f t="shared" si="18"/>
        <v>269.89</v>
      </c>
      <c r="H602" s="1" t="str">
        <f>_xlfn.XLOOKUP(C602,Product!A:A,Product!B:B,"not found",0)</f>
        <v>Electra Cruiser 1 (24-Inch) - 2016</v>
      </c>
      <c r="I602" s="1">
        <f t="shared" si="19"/>
        <v>269.89</v>
      </c>
    </row>
    <row r="603" spans="1:9" x14ac:dyDescent="0.2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 s="1">
        <f t="shared" si="18"/>
        <v>448.93</v>
      </c>
      <c r="H603" s="1" t="str">
        <f>_xlfn.XLOOKUP(C603,Product!A:A,Product!B:B,"not found",0)</f>
        <v>Pure Cycles William 3-Speed - 2016</v>
      </c>
      <c r="I603" s="1">
        <f t="shared" si="19"/>
        <v>448.93</v>
      </c>
    </row>
    <row r="604" spans="1:9" x14ac:dyDescent="0.2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 s="1">
        <f t="shared" si="18"/>
        <v>1099.8800000000001</v>
      </c>
      <c r="H604" s="1" t="str">
        <f>_xlfn.XLOOKUP(C604,Product!A:A,Product!B:B,"not found",0)</f>
        <v>Electra Townie Original 21D - 2016</v>
      </c>
      <c r="I604" s="1">
        <f t="shared" si="19"/>
        <v>1099.8800000000001</v>
      </c>
    </row>
    <row r="605" spans="1:9" x14ac:dyDescent="0.2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 s="1">
        <f t="shared" si="18"/>
        <v>539.88</v>
      </c>
      <c r="H605" s="1" t="str">
        <f>_xlfn.XLOOKUP(C605,Product!A:A,Product!B:B,"not found",0)</f>
        <v>Electra Girl's Hawaii 1 (16-inch) - 2015/2016</v>
      </c>
      <c r="I605" s="1">
        <f t="shared" si="19"/>
        <v>539.88</v>
      </c>
    </row>
    <row r="606" spans="1:9" x14ac:dyDescent="0.2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 s="1">
        <f t="shared" si="18"/>
        <v>1199.93</v>
      </c>
      <c r="H606" s="1" t="str">
        <f>_xlfn.XLOOKUP(C606,Product!A:A,Product!B:B,"not found",0)</f>
        <v>Electra Townie Original 7D EQ - 2016</v>
      </c>
      <c r="I606" s="1">
        <f t="shared" si="19"/>
        <v>1199.93</v>
      </c>
    </row>
    <row r="607" spans="1:9" x14ac:dyDescent="0.2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 s="1">
        <f t="shared" si="18"/>
        <v>448.9</v>
      </c>
      <c r="H607" s="1" t="str">
        <f>_xlfn.XLOOKUP(C607,Product!A:A,Product!B:B,"not found",0)</f>
        <v>Pure Cycles Western 3-Speed - Women's - 2015/2016</v>
      </c>
      <c r="I607" s="1">
        <f t="shared" si="19"/>
        <v>448.9</v>
      </c>
    </row>
    <row r="608" spans="1:9" x14ac:dyDescent="0.2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 s="1">
        <f t="shared" si="18"/>
        <v>3097.9</v>
      </c>
      <c r="H608" s="1" t="str">
        <f>_xlfn.XLOOKUP(C608,Product!A:A,Product!B:B,"not found",0)</f>
        <v>Surly Straggler - 2016</v>
      </c>
      <c r="I608" s="1">
        <f t="shared" si="19"/>
        <v>3097.9</v>
      </c>
    </row>
    <row r="609" spans="1:9" x14ac:dyDescent="0.2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 s="1">
        <f t="shared" si="18"/>
        <v>428.93</v>
      </c>
      <c r="H609" s="1" t="str">
        <f>_xlfn.XLOOKUP(C609,Product!A:A,Product!B:B,"not found",0)</f>
        <v>Pure Cycles Vine 8-Speed - 2016</v>
      </c>
      <c r="I609" s="1">
        <f t="shared" si="19"/>
        <v>428.93</v>
      </c>
    </row>
    <row r="610" spans="1:9" x14ac:dyDescent="0.2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 s="1">
        <f t="shared" si="18"/>
        <v>1499.88</v>
      </c>
      <c r="H610" s="1" t="str">
        <f>_xlfn.XLOOKUP(C610,Product!A:A,Product!B:B,"not found",0)</f>
        <v>Ritchey Timberwolf Frameset - 2016</v>
      </c>
      <c r="I610" s="1">
        <f t="shared" si="19"/>
        <v>1499.88</v>
      </c>
    </row>
    <row r="611" spans="1:9" x14ac:dyDescent="0.2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 s="1">
        <f t="shared" si="18"/>
        <v>269.92</v>
      </c>
      <c r="H611" s="1" t="str">
        <f>_xlfn.XLOOKUP(C611,Product!A:A,Product!B:B,"not found",0)</f>
        <v>Electra Cruiser 1 (24-Inch) - 2016</v>
      </c>
      <c r="I611" s="1">
        <f t="shared" si="19"/>
        <v>269.92</v>
      </c>
    </row>
    <row r="612" spans="1:9" x14ac:dyDescent="0.2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 s="1">
        <f t="shared" si="18"/>
        <v>549.94000000000005</v>
      </c>
      <c r="H612" s="1" t="str">
        <f>_xlfn.XLOOKUP(C612,Product!A:A,Product!B:B,"not found",0)</f>
        <v>Electra Townie Original 21D - 2016</v>
      </c>
      <c r="I612" s="1">
        <f t="shared" si="19"/>
        <v>549.94000000000005</v>
      </c>
    </row>
    <row r="613" spans="1:9" x14ac:dyDescent="0.2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 s="1">
        <f t="shared" si="18"/>
        <v>599.94000000000005</v>
      </c>
      <c r="H613" s="1" t="str">
        <f>_xlfn.XLOOKUP(C613,Product!A:A,Product!B:B,"not found",0)</f>
        <v>Electra Townie Original 7D EQ - 2016</v>
      </c>
      <c r="I613" s="1">
        <f t="shared" si="19"/>
        <v>599.94000000000005</v>
      </c>
    </row>
    <row r="614" spans="1:9" x14ac:dyDescent="0.2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 s="1">
        <f t="shared" si="18"/>
        <v>1320.79</v>
      </c>
      <c r="H614" s="1" t="str">
        <f>_xlfn.XLOOKUP(C614,Product!A:A,Product!B:B,"not found",0)</f>
        <v>Heller Shagamaw Frame - 2016</v>
      </c>
      <c r="I614" s="1">
        <f t="shared" si="19"/>
        <v>1320.79</v>
      </c>
    </row>
    <row r="615" spans="1:9" x14ac:dyDescent="0.2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 s="1">
        <f t="shared" si="18"/>
        <v>939.93000000000006</v>
      </c>
      <c r="H615" s="1" t="str">
        <f>_xlfn.XLOOKUP(C615,Product!A:A,Product!B:B,"not found",0)</f>
        <v>Surly Ice Cream Truck Frameset - 2016</v>
      </c>
      <c r="I615" s="1">
        <f t="shared" si="19"/>
        <v>939.93000000000006</v>
      </c>
    </row>
    <row r="616" spans="1:9" x14ac:dyDescent="0.2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 s="1">
        <f t="shared" si="18"/>
        <v>499.92</v>
      </c>
      <c r="H616" s="1" t="str">
        <f>_xlfn.XLOOKUP(C616,Product!A:A,Product!B:B,"not found",0)</f>
        <v>Electra Townie Original 7D - 2015/2016</v>
      </c>
      <c r="I616" s="1">
        <f t="shared" si="19"/>
        <v>499.92</v>
      </c>
    </row>
    <row r="617" spans="1:9" x14ac:dyDescent="0.2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 s="1">
        <f t="shared" si="18"/>
        <v>539.88</v>
      </c>
      <c r="H617" s="1" t="str">
        <f>_xlfn.XLOOKUP(C617,Product!A:A,Product!B:B,"not found",0)</f>
        <v>Electra Girl's Hawaii 1 (16-inch) - 2015/2016</v>
      </c>
      <c r="I617" s="1">
        <f t="shared" si="19"/>
        <v>539.88</v>
      </c>
    </row>
    <row r="618" spans="1:9" x14ac:dyDescent="0.2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 s="1">
        <f t="shared" si="18"/>
        <v>1999.78</v>
      </c>
      <c r="H618" s="1" t="str">
        <f>_xlfn.XLOOKUP(C618,Product!A:A,Product!B:B,"not found",0)</f>
        <v>Surly Wednesday Frameset - 2016</v>
      </c>
      <c r="I618" s="1">
        <f t="shared" si="19"/>
        <v>1999.78</v>
      </c>
    </row>
    <row r="619" spans="1:9" x14ac:dyDescent="0.2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 s="1">
        <f t="shared" si="18"/>
        <v>3361.91</v>
      </c>
      <c r="H619" s="1" t="str">
        <f>_xlfn.XLOOKUP(C619,Product!A:A,Product!B:B,"not found",0)</f>
        <v>Surly Straggler 650b - 2016</v>
      </c>
      <c r="I619" s="1">
        <f t="shared" si="19"/>
        <v>3361.91</v>
      </c>
    </row>
    <row r="620" spans="1:9" x14ac:dyDescent="0.2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 s="1">
        <f t="shared" si="18"/>
        <v>1548.9</v>
      </c>
      <c r="H620" s="1" t="str">
        <f>_xlfn.XLOOKUP(C620,Product!A:A,Product!B:B,"not found",0)</f>
        <v>Surly Straggler - 2016</v>
      </c>
      <c r="I620" s="1">
        <f t="shared" si="19"/>
        <v>1548.9</v>
      </c>
    </row>
    <row r="621" spans="1:9" x14ac:dyDescent="0.2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 s="1">
        <f t="shared" si="18"/>
        <v>1499.88</v>
      </c>
      <c r="H621" s="1" t="str">
        <f>_xlfn.XLOOKUP(C621,Product!A:A,Product!B:B,"not found",0)</f>
        <v>Ritchey Timberwolf Frameset - 2016</v>
      </c>
      <c r="I621" s="1">
        <f t="shared" si="19"/>
        <v>1499.88</v>
      </c>
    </row>
    <row r="622" spans="1:9" x14ac:dyDescent="0.2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 s="1">
        <f t="shared" si="18"/>
        <v>7999.9299999999994</v>
      </c>
      <c r="H622" s="1" t="str">
        <f>_xlfn.XLOOKUP(C622,Product!A:A,Product!B:B,"not found",0)</f>
        <v>Trek Slash 8 27.5 - 2016</v>
      </c>
      <c r="I622" s="1">
        <f t="shared" si="19"/>
        <v>7999.9299999999994</v>
      </c>
    </row>
    <row r="623" spans="1:9" x14ac:dyDescent="0.2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 s="1">
        <f t="shared" si="18"/>
        <v>1320.79</v>
      </c>
      <c r="H623" s="1" t="str">
        <f>_xlfn.XLOOKUP(C623,Product!A:A,Product!B:B,"not found",0)</f>
        <v>Heller Shagamaw Frame - 2016</v>
      </c>
      <c r="I623" s="1">
        <f t="shared" si="19"/>
        <v>1320.79</v>
      </c>
    </row>
    <row r="624" spans="1:9" x14ac:dyDescent="0.2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 s="1">
        <f t="shared" si="18"/>
        <v>539.88</v>
      </c>
      <c r="H624" s="1" t="str">
        <f>_xlfn.XLOOKUP(C624,Product!A:A,Product!B:B,"not found",0)</f>
        <v>Electra Cruiser 1 (24-Inch) - 2016</v>
      </c>
      <c r="I624" s="1">
        <f t="shared" si="19"/>
        <v>539.88</v>
      </c>
    </row>
    <row r="625" spans="1:9" x14ac:dyDescent="0.2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 s="1">
        <f t="shared" si="18"/>
        <v>599.94000000000005</v>
      </c>
      <c r="H625" s="1" t="str">
        <f>_xlfn.XLOOKUP(C625,Product!A:A,Product!B:B,"not found",0)</f>
        <v>Electra Townie Original 7D EQ - Women's - 2016</v>
      </c>
      <c r="I625" s="1">
        <f t="shared" si="19"/>
        <v>599.94000000000005</v>
      </c>
    </row>
    <row r="626" spans="1:9" x14ac:dyDescent="0.2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 s="1">
        <f t="shared" si="18"/>
        <v>529.94000000000005</v>
      </c>
      <c r="H626" s="1" t="str">
        <f>_xlfn.XLOOKUP(C626,Product!A:A,Product!B:B,"not found",0)</f>
        <v>Electra Moto 1 - 2016</v>
      </c>
      <c r="I626" s="1">
        <f t="shared" si="19"/>
        <v>529.94000000000005</v>
      </c>
    </row>
    <row r="627" spans="1:9" x14ac:dyDescent="0.2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 s="1">
        <f t="shared" si="18"/>
        <v>469.92</v>
      </c>
      <c r="H627" s="1" t="str">
        <f>_xlfn.XLOOKUP(C627,Product!A:A,Product!B:B,"not found",0)</f>
        <v>Surly Ice Cream Truck Frameset - 2016</v>
      </c>
      <c r="I627" s="1">
        <f t="shared" si="19"/>
        <v>469.92</v>
      </c>
    </row>
    <row r="628" spans="1:9" x14ac:dyDescent="0.2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 s="1">
        <f t="shared" si="18"/>
        <v>3361.88</v>
      </c>
      <c r="H628" s="1" t="str">
        <f>_xlfn.XLOOKUP(C628,Product!A:A,Product!B:B,"not found",0)</f>
        <v>Surly Straggler 650b - 2016</v>
      </c>
      <c r="I628" s="1">
        <f t="shared" si="19"/>
        <v>3361.88</v>
      </c>
    </row>
    <row r="629" spans="1:9" x14ac:dyDescent="0.2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 s="1">
        <f t="shared" si="18"/>
        <v>3097.8</v>
      </c>
      <c r="H629" s="1" t="str">
        <f>_xlfn.XLOOKUP(C629,Product!A:A,Product!B:B,"not found",0)</f>
        <v>Surly Straggler - 2016</v>
      </c>
      <c r="I629" s="1">
        <f t="shared" si="19"/>
        <v>3097.8</v>
      </c>
    </row>
    <row r="630" spans="1:9" x14ac:dyDescent="0.2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 s="1">
        <f t="shared" si="18"/>
        <v>499.94</v>
      </c>
      <c r="H630" s="1" t="str">
        <f>_xlfn.XLOOKUP(C630,Product!A:A,Product!B:B,"not found",0)</f>
        <v>Electra Townie Original 7D - 2015/2016</v>
      </c>
      <c r="I630" s="1">
        <f t="shared" si="19"/>
        <v>499.94</v>
      </c>
    </row>
    <row r="631" spans="1:9" x14ac:dyDescent="0.2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 s="1">
        <f t="shared" si="18"/>
        <v>269.89</v>
      </c>
      <c r="H631" s="1" t="str">
        <f>_xlfn.XLOOKUP(C631,Product!A:A,Product!B:B,"not found",0)</f>
        <v>Electra Cruiser 1 (24-Inch) - 2016</v>
      </c>
      <c r="I631" s="1">
        <f t="shared" si="19"/>
        <v>269.89</v>
      </c>
    </row>
    <row r="632" spans="1:9" x14ac:dyDescent="0.2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 s="1">
        <f t="shared" si="18"/>
        <v>2999.89</v>
      </c>
      <c r="H632" s="1" t="str">
        <f>_xlfn.XLOOKUP(C632,Product!A:A,Product!B:B,"not found",0)</f>
        <v>Trek Conduit+ - 2016</v>
      </c>
      <c r="I632" s="1">
        <f t="shared" si="19"/>
        <v>2999.89</v>
      </c>
    </row>
    <row r="633" spans="1:9" x14ac:dyDescent="0.2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 s="1">
        <f t="shared" si="18"/>
        <v>749.94</v>
      </c>
      <c r="H633" s="1" t="str">
        <f>_xlfn.XLOOKUP(C633,Product!A:A,Product!B:B,"not found",0)</f>
        <v>Ritchey Timberwolf Frameset - 2016</v>
      </c>
      <c r="I633" s="1">
        <f t="shared" si="19"/>
        <v>749.94</v>
      </c>
    </row>
    <row r="634" spans="1:9" x14ac:dyDescent="0.2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 s="1">
        <f t="shared" si="18"/>
        <v>1999.93</v>
      </c>
      <c r="H634" s="1" t="str">
        <f>_xlfn.XLOOKUP(C634,Product!A:A,Product!B:B,"not found",0)</f>
        <v>Surly Wednesday Frameset - 2016</v>
      </c>
      <c r="I634" s="1">
        <f t="shared" si="19"/>
        <v>1999.93</v>
      </c>
    </row>
    <row r="635" spans="1:9" x14ac:dyDescent="0.2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 s="1">
        <f t="shared" si="18"/>
        <v>1059.8800000000001</v>
      </c>
      <c r="H635" s="1" t="str">
        <f>_xlfn.XLOOKUP(C635,Product!A:A,Product!B:B,"not found",0)</f>
        <v>Electra Moto 1 - 2016</v>
      </c>
      <c r="I635" s="1">
        <f t="shared" si="19"/>
        <v>1059.8800000000001</v>
      </c>
    </row>
    <row r="636" spans="1:9" x14ac:dyDescent="0.2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 s="1">
        <f t="shared" si="18"/>
        <v>499.79</v>
      </c>
      <c r="H636" s="1" t="str">
        <f>_xlfn.XLOOKUP(C636,Product!A:A,Product!B:B,"not found",0)</f>
        <v>Electra Townie Original 7D - 2015/2016</v>
      </c>
      <c r="I636" s="1">
        <f t="shared" si="19"/>
        <v>499.79</v>
      </c>
    </row>
    <row r="637" spans="1:9" x14ac:dyDescent="0.2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 s="1">
        <f t="shared" si="18"/>
        <v>1499.91</v>
      </c>
      <c r="H637" s="1" t="str">
        <f>_xlfn.XLOOKUP(C637,Product!A:A,Product!B:B,"not found",0)</f>
        <v>Ritchey Timberwolf Frameset - 2016</v>
      </c>
      <c r="I637" s="1">
        <f t="shared" si="19"/>
        <v>1499.91</v>
      </c>
    </row>
    <row r="638" spans="1:9" x14ac:dyDescent="0.2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 s="1">
        <f t="shared" si="18"/>
        <v>599.88</v>
      </c>
      <c r="H638" s="1" t="str">
        <f>_xlfn.XLOOKUP(C638,Product!A:A,Product!B:B,"not found",0)</f>
        <v>Electra Girl's Hawaii 1 (20-inch) - 2015/2016</v>
      </c>
      <c r="I638" s="1">
        <f t="shared" si="19"/>
        <v>599.88</v>
      </c>
    </row>
    <row r="639" spans="1:9" x14ac:dyDescent="0.2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 s="1">
        <f t="shared" si="18"/>
        <v>2899.79</v>
      </c>
      <c r="H639" s="1" t="str">
        <f>_xlfn.XLOOKUP(C639,Product!A:A,Product!B:B,"not found",0)</f>
        <v>Trek Fuel EX 8 29 - 2016</v>
      </c>
      <c r="I639" s="1">
        <f t="shared" si="19"/>
        <v>2899.79</v>
      </c>
    </row>
    <row r="640" spans="1:9" x14ac:dyDescent="0.2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 s="1">
        <f t="shared" si="18"/>
        <v>269.94</v>
      </c>
      <c r="H640" s="1" t="str">
        <f>_xlfn.XLOOKUP(C640,Product!A:A,Product!B:B,"not found",0)</f>
        <v>Electra Girl's Hawaii 1 (16-inch) - 2015/2016</v>
      </c>
      <c r="I640" s="1">
        <f t="shared" si="19"/>
        <v>269.94</v>
      </c>
    </row>
    <row r="641" spans="1:9" x14ac:dyDescent="0.2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 s="1">
        <f t="shared" si="18"/>
        <v>999.78</v>
      </c>
      <c r="H641" s="1" t="str">
        <f>_xlfn.XLOOKUP(C641,Product!A:A,Product!B:B,"not found",0)</f>
        <v>Electra Townie Original 7D - 2015/2016</v>
      </c>
      <c r="I641" s="1">
        <f t="shared" si="19"/>
        <v>999.78</v>
      </c>
    </row>
    <row r="642" spans="1:9" x14ac:dyDescent="0.2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 s="1">
        <f t="shared" si="18"/>
        <v>2641.88</v>
      </c>
      <c r="H642" s="1" t="str">
        <f>_xlfn.XLOOKUP(C642,Product!A:A,Product!B:B,"not found",0)</f>
        <v>Heller Shagamaw Frame - 2016</v>
      </c>
      <c r="I642" s="1">
        <f t="shared" si="19"/>
        <v>2641.88</v>
      </c>
    </row>
    <row r="643" spans="1:9" x14ac:dyDescent="0.2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 s="1">
        <f t="shared" ref="G643:G706" si="20">(E643*D643)-F643</f>
        <v>1799.79</v>
      </c>
      <c r="H643" s="1" t="str">
        <f>_xlfn.XLOOKUP(C643,Product!A:A,Product!B:B,"not found",0)</f>
        <v>Trek Remedy 29 Carbon Frameset - 2016</v>
      </c>
      <c r="I643" s="1">
        <f t="shared" ref="I643:I706" si="21">(D643*E643)-F643</f>
        <v>1799.79</v>
      </c>
    </row>
    <row r="644" spans="1:9" x14ac:dyDescent="0.2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 s="1">
        <f t="shared" si="20"/>
        <v>3361.91</v>
      </c>
      <c r="H644" s="1" t="str">
        <f>_xlfn.XLOOKUP(C644,Product!A:A,Product!B:B,"not found",0)</f>
        <v>Surly Straggler 650b - 2016</v>
      </c>
      <c r="I644" s="1">
        <f t="shared" si="21"/>
        <v>3361.91</v>
      </c>
    </row>
    <row r="645" spans="1:9" x14ac:dyDescent="0.2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 s="1">
        <f t="shared" si="20"/>
        <v>3599.91</v>
      </c>
      <c r="H645" s="1" t="str">
        <f>_xlfn.XLOOKUP(C645,Product!A:A,Product!B:B,"not found",0)</f>
        <v>Trek Remedy 29 Carbon Frameset - 2016</v>
      </c>
      <c r="I645" s="1">
        <f t="shared" si="21"/>
        <v>3599.91</v>
      </c>
    </row>
    <row r="646" spans="1:9" x14ac:dyDescent="0.2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 s="1">
        <f t="shared" si="20"/>
        <v>539.78</v>
      </c>
      <c r="H646" s="1" t="str">
        <f>_xlfn.XLOOKUP(C646,Product!A:A,Product!B:B,"not found",0)</f>
        <v>Electra Girl's Hawaii 1 (16-inch) - 2015/2016</v>
      </c>
      <c r="I646" s="1">
        <f t="shared" si="21"/>
        <v>539.78</v>
      </c>
    </row>
    <row r="647" spans="1:9" x14ac:dyDescent="0.2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 s="1">
        <f t="shared" si="20"/>
        <v>2641.78</v>
      </c>
      <c r="H647" s="1" t="str">
        <f>_xlfn.XLOOKUP(C647,Product!A:A,Product!B:B,"not found",0)</f>
        <v>Heller Shagamaw Frame - 2016</v>
      </c>
      <c r="I647" s="1">
        <f t="shared" si="21"/>
        <v>2641.78</v>
      </c>
    </row>
    <row r="648" spans="1:9" x14ac:dyDescent="0.2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 s="1">
        <f t="shared" si="20"/>
        <v>448.93</v>
      </c>
      <c r="H648" s="1" t="str">
        <f>_xlfn.XLOOKUP(C648,Product!A:A,Product!B:B,"not found",0)</f>
        <v>Pure Cycles Western 3-Speed - Women's - 2015/2016</v>
      </c>
      <c r="I648" s="1">
        <f t="shared" si="21"/>
        <v>448.93</v>
      </c>
    </row>
    <row r="649" spans="1:9" x14ac:dyDescent="0.2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 s="1">
        <f t="shared" si="20"/>
        <v>3361.93</v>
      </c>
      <c r="H649" s="1" t="str">
        <f>_xlfn.XLOOKUP(C649,Product!A:A,Product!B:B,"not found",0)</f>
        <v>Surly Straggler 650b - 2016</v>
      </c>
      <c r="I649" s="1">
        <f t="shared" si="21"/>
        <v>3361.93</v>
      </c>
    </row>
    <row r="650" spans="1:9" x14ac:dyDescent="0.2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 s="1">
        <f t="shared" si="20"/>
        <v>1199.9100000000001</v>
      </c>
      <c r="H650" s="1" t="str">
        <f>_xlfn.XLOOKUP(C650,Product!A:A,Product!B:B,"not found",0)</f>
        <v>Electra Townie Original 7D EQ - 2016</v>
      </c>
      <c r="I650" s="1">
        <f t="shared" si="21"/>
        <v>1199.9100000000001</v>
      </c>
    </row>
    <row r="651" spans="1:9" x14ac:dyDescent="0.2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 s="1">
        <f t="shared" si="20"/>
        <v>3599.88</v>
      </c>
      <c r="H651" s="1" t="str">
        <f>_xlfn.XLOOKUP(C651,Product!A:A,Product!B:B,"not found",0)</f>
        <v>Trek Remedy 29 Carbon Frameset - 2016</v>
      </c>
      <c r="I651" s="1">
        <f t="shared" si="21"/>
        <v>3599.88</v>
      </c>
    </row>
    <row r="652" spans="1:9" x14ac:dyDescent="0.2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 s="1">
        <f t="shared" si="20"/>
        <v>269.89</v>
      </c>
      <c r="H652" s="1" t="str">
        <f>_xlfn.XLOOKUP(C652,Product!A:A,Product!B:B,"not found",0)</f>
        <v>Electra Girl's Hawaii 1 (16-inch) - 2015/2016</v>
      </c>
      <c r="I652" s="1">
        <f t="shared" si="21"/>
        <v>269.89</v>
      </c>
    </row>
    <row r="653" spans="1:9" x14ac:dyDescent="0.2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 s="1">
        <f t="shared" si="20"/>
        <v>1199.8800000000001</v>
      </c>
      <c r="H653" s="1" t="str">
        <f>_xlfn.XLOOKUP(C653,Product!A:A,Product!B:B,"not found",0)</f>
        <v>Electra Townie Original 7D EQ - 2016</v>
      </c>
      <c r="I653" s="1">
        <f t="shared" si="21"/>
        <v>1199.8800000000001</v>
      </c>
    </row>
    <row r="654" spans="1:9" x14ac:dyDescent="0.2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 s="1">
        <f t="shared" si="20"/>
        <v>549.79</v>
      </c>
      <c r="H654" s="1" t="str">
        <f>_xlfn.XLOOKUP(C654,Product!A:A,Product!B:B,"not found",0)</f>
        <v>Electra Townie Original 21D - 2016</v>
      </c>
      <c r="I654" s="1">
        <f t="shared" si="21"/>
        <v>549.79</v>
      </c>
    </row>
    <row r="655" spans="1:9" x14ac:dyDescent="0.2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 s="1">
        <f t="shared" si="20"/>
        <v>1059.9100000000001</v>
      </c>
      <c r="H655" s="1" t="str">
        <f>_xlfn.XLOOKUP(C655,Product!A:A,Product!B:B,"not found",0)</f>
        <v>Electra Moto 1 - 2016</v>
      </c>
      <c r="I655" s="1">
        <f t="shared" si="21"/>
        <v>1059.9100000000001</v>
      </c>
    </row>
    <row r="656" spans="1:9" x14ac:dyDescent="0.2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 s="1">
        <f t="shared" si="20"/>
        <v>3361.78</v>
      </c>
      <c r="H656" s="1" t="str">
        <f>_xlfn.XLOOKUP(C656,Product!A:A,Product!B:B,"not found",0)</f>
        <v>Surly Straggler 650b - 2016</v>
      </c>
      <c r="I656" s="1">
        <f t="shared" si="21"/>
        <v>3361.78</v>
      </c>
    </row>
    <row r="657" spans="1:9" x14ac:dyDescent="0.2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 s="1">
        <f t="shared" si="20"/>
        <v>857.95</v>
      </c>
      <c r="H657" s="1" t="str">
        <f>_xlfn.XLOOKUP(C657,Product!A:A,Product!B:B,"not found",0)</f>
        <v>Pure Cycles Vine 8-Speed - 2016</v>
      </c>
      <c r="I657" s="1">
        <f t="shared" si="21"/>
        <v>857.95</v>
      </c>
    </row>
    <row r="658" spans="1:9" x14ac:dyDescent="0.2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 s="1">
        <f t="shared" si="20"/>
        <v>549.89</v>
      </c>
      <c r="H658" s="1" t="str">
        <f>_xlfn.XLOOKUP(C658,Product!A:A,Product!B:B,"not found",0)</f>
        <v>Electra Townie Original 21D - 2016</v>
      </c>
      <c r="I658" s="1">
        <f t="shared" si="21"/>
        <v>549.89</v>
      </c>
    </row>
    <row r="659" spans="1:9" x14ac:dyDescent="0.2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 s="1">
        <f t="shared" si="20"/>
        <v>3999.9399999999996</v>
      </c>
      <c r="H659" s="1" t="str">
        <f>_xlfn.XLOOKUP(C659,Product!A:A,Product!B:B,"not found",0)</f>
        <v>Trek Slash 8 27.5 - 2016</v>
      </c>
      <c r="I659" s="1">
        <f t="shared" si="21"/>
        <v>3999.9399999999996</v>
      </c>
    </row>
    <row r="660" spans="1:9" x14ac:dyDescent="0.2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 s="1">
        <f t="shared" si="20"/>
        <v>299.89</v>
      </c>
      <c r="H660" s="1" t="str">
        <f>_xlfn.XLOOKUP(C660,Product!A:A,Product!B:B,"not found",0)</f>
        <v>Electra Girl's Hawaii 1 (20-inch) - 2015/2016</v>
      </c>
      <c r="I660" s="1">
        <f t="shared" si="21"/>
        <v>299.89</v>
      </c>
    </row>
    <row r="661" spans="1:9" x14ac:dyDescent="0.2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 s="1">
        <f t="shared" si="20"/>
        <v>469.92</v>
      </c>
      <c r="H661" s="1" t="str">
        <f>_xlfn.XLOOKUP(C661,Product!A:A,Product!B:B,"not found",0)</f>
        <v>Surly Ice Cream Truck Frameset - 2016</v>
      </c>
      <c r="I661" s="1">
        <f t="shared" si="21"/>
        <v>469.92</v>
      </c>
    </row>
    <row r="662" spans="1:9" x14ac:dyDescent="0.2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 s="1">
        <f t="shared" si="20"/>
        <v>539.93000000000006</v>
      </c>
      <c r="H662" s="1" t="str">
        <f>_xlfn.XLOOKUP(C662,Product!A:A,Product!B:B,"not found",0)</f>
        <v>Electra Cruiser 1 (24-Inch) - 2016</v>
      </c>
      <c r="I662" s="1">
        <f t="shared" si="21"/>
        <v>539.93000000000006</v>
      </c>
    </row>
    <row r="663" spans="1:9" x14ac:dyDescent="0.2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 s="1">
        <f t="shared" si="20"/>
        <v>7999.9299999999994</v>
      </c>
      <c r="H663" s="1" t="str">
        <f>_xlfn.XLOOKUP(C663,Product!A:A,Product!B:B,"not found",0)</f>
        <v>Trek Slash 8 27.5 - 2016</v>
      </c>
      <c r="I663" s="1">
        <f t="shared" si="21"/>
        <v>7999.9299999999994</v>
      </c>
    </row>
    <row r="664" spans="1:9" x14ac:dyDescent="0.2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 s="1">
        <f t="shared" si="20"/>
        <v>1999.91</v>
      </c>
      <c r="H664" s="1" t="str">
        <f>_xlfn.XLOOKUP(C664,Product!A:A,Product!B:B,"not found",0)</f>
        <v>Surly Wednesday Frameset - 2016</v>
      </c>
      <c r="I664" s="1">
        <f t="shared" si="21"/>
        <v>1999.91</v>
      </c>
    </row>
    <row r="665" spans="1:9" x14ac:dyDescent="0.2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 s="1">
        <f t="shared" si="20"/>
        <v>1499.88</v>
      </c>
      <c r="H665" s="1" t="str">
        <f>_xlfn.XLOOKUP(C665,Product!A:A,Product!B:B,"not found",0)</f>
        <v>Ritchey Timberwolf Frameset - 2016</v>
      </c>
      <c r="I665" s="1">
        <f t="shared" si="21"/>
        <v>1499.88</v>
      </c>
    </row>
    <row r="666" spans="1:9" x14ac:dyDescent="0.2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 s="1">
        <f t="shared" si="20"/>
        <v>5799.8799999999992</v>
      </c>
      <c r="H666" s="1" t="str">
        <f>_xlfn.XLOOKUP(C666,Product!A:A,Product!B:B,"not found",0)</f>
        <v>Trek Fuel EX 8 29 - 2016</v>
      </c>
      <c r="I666" s="1">
        <f t="shared" si="21"/>
        <v>5799.8799999999992</v>
      </c>
    </row>
    <row r="667" spans="1:9" x14ac:dyDescent="0.2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 s="1">
        <f t="shared" si="20"/>
        <v>529.79</v>
      </c>
      <c r="H667" s="1" t="str">
        <f>_xlfn.XLOOKUP(C667,Product!A:A,Product!B:B,"not found",0)</f>
        <v>Electra Moto 1 - 2016</v>
      </c>
      <c r="I667" s="1">
        <f t="shared" si="21"/>
        <v>529.79</v>
      </c>
    </row>
    <row r="668" spans="1:9" x14ac:dyDescent="0.2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 s="1">
        <f t="shared" si="20"/>
        <v>549.91999999999996</v>
      </c>
      <c r="H668" s="1" t="str">
        <f>_xlfn.XLOOKUP(C668,Product!A:A,Product!B:B,"not found",0)</f>
        <v>Electra Townie Original 21D - 2016</v>
      </c>
      <c r="I668" s="1">
        <f t="shared" si="21"/>
        <v>549.91999999999996</v>
      </c>
    </row>
    <row r="669" spans="1:9" x14ac:dyDescent="0.2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 s="1">
        <f t="shared" si="20"/>
        <v>1199.78</v>
      </c>
      <c r="H669" s="1" t="str">
        <f>_xlfn.XLOOKUP(C669,Product!A:A,Product!B:B,"not found",0)</f>
        <v>Electra Townie Original 7D EQ - Women's - 2016</v>
      </c>
      <c r="I669" s="1">
        <f t="shared" si="21"/>
        <v>1199.78</v>
      </c>
    </row>
    <row r="670" spans="1:9" x14ac:dyDescent="0.2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 s="1">
        <f t="shared" si="20"/>
        <v>599.94000000000005</v>
      </c>
      <c r="H670" s="1" t="str">
        <f>_xlfn.XLOOKUP(C670,Product!A:A,Product!B:B,"not found",0)</f>
        <v>Electra Townie Original 7D EQ - 2016</v>
      </c>
      <c r="I670" s="1">
        <f t="shared" si="21"/>
        <v>599.94000000000005</v>
      </c>
    </row>
    <row r="671" spans="1:9" x14ac:dyDescent="0.2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 s="1">
        <f t="shared" si="20"/>
        <v>1199.78</v>
      </c>
      <c r="H671" s="1" t="str">
        <f>_xlfn.XLOOKUP(C671,Product!A:A,Product!B:B,"not found",0)</f>
        <v>Electra Townie Original 7D EQ - Women's - 2016</v>
      </c>
      <c r="I671" s="1">
        <f t="shared" si="21"/>
        <v>1199.78</v>
      </c>
    </row>
    <row r="672" spans="1:9" x14ac:dyDescent="0.2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 s="1">
        <f t="shared" si="20"/>
        <v>499.92</v>
      </c>
      <c r="H672" s="1" t="str">
        <f>_xlfn.XLOOKUP(C672,Product!A:A,Product!B:B,"not found",0)</f>
        <v>Electra Townie Original 7D - 2015/2016</v>
      </c>
      <c r="I672" s="1">
        <f t="shared" si="21"/>
        <v>499.92</v>
      </c>
    </row>
    <row r="673" spans="1:9" x14ac:dyDescent="0.2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 s="1">
        <f t="shared" si="20"/>
        <v>539.78</v>
      </c>
      <c r="H673" s="1" t="str">
        <f>_xlfn.XLOOKUP(C673,Product!A:A,Product!B:B,"not found",0)</f>
        <v>Electra Cruiser 1 (24-Inch) - 2016</v>
      </c>
      <c r="I673" s="1">
        <f t="shared" si="21"/>
        <v>539.78</v>
      </c>
    </row>
    <row r="674" spans="1:9" x14ac:dyDescent="0.2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 s="1">
        <f t="shared" si="20"/>
        <v>539.93000000000006</v>
      </c>
      <c r="H674" s="1" t="str">
        <f>_xlfn.XLOOKUP(C674,Product!A:A,Product!B:B,"not found",0)</f>
        <v>Electra Girl's Hawaii 1 (16-inch) - 2015/2016</v>
      </c>
      <c r="I674" s="1">
        <f t="shared" si="21"/>
        <v>539.93000000000006</v>
      </c>
    </row>
    <row r="675" spans="1:9" x14ac:dyDescent="0.2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 s="1">
        <f t="shared" si="20"/>
        <v>3999.9199999999996</v>
      </c>
      <c r="H675" s="1" t="str">
        <f>_xlfn.XLOOKUP(C675,Product!A:A,Product!B:B,"not found",0)</f>
        <v>Trek Slash 8 27.5 - 2016</v>
      </c>
      <c r="I675" s="1">
        <f t="shared" si="21"/>
        <v>3999.9199999999996</v>
      </c>
    </row>
    <row r="676" spans="1:9" x14ac:dyDescent="0.2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 s="1">
        <f t="shared" si="20"/>
        <v>1199.8800000000001</v>
      </c>
      <c r="H676" s="1" t="str">
        <f>_xlfn.XLOOKUP(C676,Product!A:A,Product!B:B,"not found",0)</f>
        <v>Electra Townie Original 7D EQ - 2016</v>
      </c>
      <c r="I676" s="1">
        <f t="shared" si="21"/>
        <v>1199.8800000000001</v>
      </c>
    </row>
    <row r="677" spans="1:9" x14ac:dyDescent="0.2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 s="1">
        <f t="shared" si="20"/>
        <v>539.93000000000006</v>
      </c>
      <c r="H677" s="1" t="str">
        <f>_xlfn.XLOOKUP(C677,Product!A:A,Product!B:B,"not found",0)</f>
        <v>Electra Cruiser 1 (24-Inch) - 2016</v>
      </c>
      <c r="I677" s="1">
        <f t="shared" si="21"/>
        <v>539.93000000000006</v>
      </c>
    </row>
    <row r="678" spans="1:9" x14ac:dyDescent="0.2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 s="1">
        <f t="shared" si="20"/>
        <v>448.93</v>
      </c>
      <c r="H678" s="1" t="str">
        <f>_xlfn.XLOOKUP(C678,Product!A:A,Product!B:B,"not found",0)</f>
        <v>Pure Cycles Western 3-Speed - Women's - 2015/2016</v>
      </c>
      <c r="I678" s="1">
        <f t="shared" si="21"/>
        <v>448.93</v>
      </c>
    </row>
    <row r="679" spans="1:9" x14ac:dyDescent="0.2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 s="1">
        <f t="shared" si="20"/>
        <v>5799.91</v>
      </c>
      <c r="H679" s="1" t="str">
        <f>_xlfn.XLOOKUP(C679,Product!A:A,Product!B:B,"not found",0)</f>
        <v>Trek Fuel EX 8 29 - 2016</v>
      </c>
      <c r="I679" s="1">
        <f t="shared" si="21"/>
        <v>5799.91</v>
      </c>
    </row>
    <row r="680" spans="1:9" x14ac:dyDescent="0.2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 s="1">
        <f t="shared" si="20"/>
        <v>2999.9199999999996</v>
      </c>
      <c r="H680" s="1" t="str">
        <f>_xlfn.XLOOKUP(C680,Product!A:A,Product!B:B,"not found",0)</f>
        <v>Trek Conduit+ - 2016</v>
      </c>
      <c r="I680" s="1">
        <f t="shared" si="21"/>
        <v>2999.9199999999996</v>
      </c>
    </row>
    <row r="681" spans="1:9" x14ac:dyDescent="0.2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 s="1">
        <f t="shared" si="20"/>
        <v>1799.92</v>
      </c>
      <c r="H681" s="1" t="str">
        <f>_xlfn.XLOOKUP(C681,Product!A:A,Product!B:B,"not found",0)</f>
        <v>Trek Remedy 29 Carbon Frameset - 2016</v>
      </c>
      <c r="I681" s="1">
        <f t="shared" si="21"/>
        <v>1799.92</v>
      </c>
    </row>
    <row r="682" spans="1:9" x14ac:dyDescent="0.2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 s="1">
        <f t="shared" si="20"/>
        <v>1320.92</v>
      </c>
      <c r="H682" s="1" t="str">
        <f>_xlfn.XLOOKUP(C682,Product!A:A,Product!B:B,"not found",0)</f>
        <v>Heller Shagamaw Frame - 2016</v>
      </c>
      <c r="I682" s="1">
        <f t="shared" si="21"/>
        <v>1320.92</v>
      </c>
    </row>
    <row r="683" spans="1:9" x14ac:dyDescent="0.2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 s="1">
        <f t="shared" si="20"/>
        <v>897.93</v>
      </c>
      <c r="H683" s="1" t="str">
        <f>_xlfn.XLOOKUP(C683,Product!A:A,Product!B:B,"not found",0)</f>
        <v>Pure Cycles Western 3-Speed - Women's - 2015/2016</v>
      </c>
      <c r="I683" s="1">
        <f t="shared" si="21"/>
        <v>897.93</v>
      </c>
    </row>
    <row r="684" spans="1:9" x14ac:dyDescent="0.2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 s="1">
        <f t="shared" si="20"/>
        <v>3999.79</v>
      </c>
      <c r="H684" s="1" t="str">
        <f>_xlfn.XLOOKUP(C684,Product!A:A,Product!B:B,"not found",0)</f>
        <v>Trek Slash 8 27.5 - 2016</v>
      </c>
      <c r="I684" s="1">
        <f t="shared" si="21"/>
        <v>3999.79</v>
      </c>
    </row>
    <row r="685" spans="1:9" x14ac:dyDescent="0.2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 s="1">
        <f t="shared" si="20"/>
        <v>999.79</v>
      </c>
      <c r="H685" s="1" t="str">
        <f>_xlfn.XLOOKUP(C685,Product!A:A,Product!B:B,"not found",0)</f>
        <v>Surly Wednesday Frameset - 2016</v>
      </c>
      <c r="I685" s="1">
        <f t="shared" si="21"/>
        <v>999.79</v>
      </c>
    </row>
    <row r="686" spans="1:9" x14ac:dyDescent="0.2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 s="1">
        <f t="shared" si="20"/>
        <v>999.93000000000006</v>
      </c>
      <c r="H686" s="1" t="str">
        <f>_xlfn.XLOOKUP(C686,Product!A:A,Product!B:B,"not found",0)</f>
        <v>Electra Townie Original 7D - 2015/2016</v>
      </c>
      <c r="I686" s="1">
        <f t="shared" si="21"/>
        <v>999.93000000000006</v>
      </c>
    </row>
    <row r="687" spans="1:9" x14ac:dyDescent="0.2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 s="1">
        <f t="shared" si="20"/>
        <v>897.93</v>
      </c>
      <c r="H687" s="1" t="str">
        <f>_xlfn.XLOOKUP(C687,Product!A:A,Product!B:B,"not found",0)</f>
        <v>Pure Cycles William 3-Speed - 2016</v>
      </c>
      <c r="I687" s="1">
        <f t="shared" si="21"/>
        <v>897.93</v>
      </c>
    </row>
    <row r="688" spans="1:9" x14ac:dyDescent="0.2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 s="1">
        <f t="shared" si="20"/>
        <v>7999.9299999999994</v>
      </c>
      <c r="H688" s="1" t="str">
        <f>_xlfn.XLOOKUP(C688,Product!A:A,Product!B:B,"not found",0)</f>
        <v>Trek Slash 8 27.5 - 2016</v>
      </c>
      <c r="I688" s="1">
        <f t="shared" si="21"/>
        <v>7999.9299999999994</v>
      </c>
    </row>
    <row r="689" spans="1:9" x14ac:dyDescent="0.2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 s="1">
        <f t="shared" si="20"/>
        <v>448.93</v>
      </c>
      <c r="H689" s="1" t="str">
        <f>_xlfn.XLOOKUP(C689,Product!A:A,Product!B:B,"not found",0)</f>
        <v>Pure Cycles William 3-Speed - 2016</v>
      </c>
      <c r="I689" s="1">
        <f t="shared" si="21"/>
        <v>448.93</v>
      </c>
    </row>
    <row r="690" spans="1:9" x14ac:dyDescent="0.2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 s="1">
        <f t="shared" si="20"/>
        <v>499.79</v>
      </c>
      <c r="H690" s="1" t="str">
        <f>_xlfn.XLOOKUP(C690,Product!A:A,Product!B:B,"not found",0)</f>
        <v>Electra Townie Original 7D - 2015/2016</v>
      </c>
      <c r="I690" s="1">
        <f t="shared" si="21"/>
        <v>499.79</v>
      </c>
    </row>
    <row r="691" spans="1:9" x14ac:dyDescent="0.2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 s="1">
        <f t="shared" si="20"/>
        <v>269.89</v>
      </c>
      <c r="H691" s="1" t="str">
        <f>_xlfn.XLOOKUP(C691,Product!A:A,Product!B:B,"not found",0)</f>
        <v>Electra Girl's Hawaii 1 (16-inch) - 2015/2016</v>
      </c>
      <c r="I691" s="1">
        <f t="shared" si="21"/>
        <v>269.89</v>
      </c>
    </row>
    <row r="692" spans="1:9" x14ac:dyDescent="0.2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 s="1">
        <f t="shared" si="20"/>
        <v>3097.95</v>
      </c>
      <c r="H692" s="1" t="str">
        <f>_xlfn.XLOOKUP(C692,Product!A:A,Product!B:B,"not found",0)</f>
        <v>Surly Straggler - 2016</v>
      </c>
      <c r="I692" s="1">
        <f t="shared" si="21"/>
        <v>3097.95</v>
      </c>
    </row>
    <row r="693" spans="1:9" x14ac:dyDescent="0.2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 s="1">
        <f t="shared" si="20"/>
        <v>1799.89</v>
      </c>
      <c r="H693" s="1" t="str">
        <f>_xlfn.XLOOKUP(C693,Product!A:A,Product!B:B,"not found",0)</f>
        <v>Trek Remedy 29 Carbon Frameset - 2016</v>
      </c>
      <c r="I693" s="1">
        <f t="shared" si="21"/>
        <v>1799.89</v>
      </c>
    </row>
    <row r="694" spans="1:9" x14ac:dyDescent="0.2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 s="1">
        <f t="shared" si="20"/>
        <v>857.8</v>
      </c>
      <c r="H694" s="1" t="str">
        <f>_xlfn.XLOOKUP(C694,Product!A:A,Product!B:B,"not found",0)</f>
        <v>Pure Cycles Vine 8-Speed - 2016</v>
      </c>
      <c r="I694" s="1">
        <f t="shared" si="21"/>
        <v>857.8</v>
      </c>
    </row>
    <row r="695" spans="1:9" x14ac:dyDescent="0.2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 s="1">
        <f t="shared" si="20"/>
        <v>499.92</v>
      </c>
      <c r="H695" s="1" t="str">
        <f>_xlfn.XLOOKUP(C695,Product!A:A,Product!B:B,"not found",0)</f>
        <v>Electra Townie Original 7D - 2015/2016</v>
      </c>
      <c r="I695" s="1">
        <f t="shared" si="21"/>
        <v>499.92</v>
      </c>
    </row>
    <row r="696" spans="1:9" x14ac:dyDescent="0.2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 s="1">
        <f t="shared" si="20"/>
        <v>999.79</v>
      </c>
      <c r="H696" s="1" t="str">
        <f>_xlfn.XLOOKUP(C696,Product!A:A,Product!B:B,"not found",0)</f>
        <v>Surly Wednesday Frameset - 2016</v>
      </c>
      <c r="I696" s="1">
        <f t="shared" si="21"/>
        <v>999.79</v>
      </c>
    </row>
    <row r="697" spans="1:9" x14ac:dyDescent="0.2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 s="1">
        <f t="shared" si="20"/>
        <v>269.89</v>
      </c>
      <c r="H697" s="1" t="str">
        <f>_xlfn.XLOOKUP(C697,Product!A:A,Product!B:B,"not found",0)</f>
        <v>Electra Cruiser 1 (24-Inch) - 2016</v>
      </c>
      <c r="I697" s="1">
        <f t="shared" si="21"/>
        <v>269.89</v>
      </c>
    </row>
    <row r="698" spans="1:9" x14ac:dyDescent="0.2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 s="1">
        <f t="shared" si="20"/>
        <v>1199.8800000000001</v>
      </c>
      <c r="H698" s="1" t="str">
        <f>_xlfn.XLOOKUP(C698,Product!A:A,Product!B:B,"not found",0)</f>
        <v>Electra Townie Original 7D EQ - 2016</v>
      </c>
      <c r="I698" s="1">
        <f t="shared" si="21"/>
        <v>1199.8800000000001</v>
      </c>
    </row>
    <row r="699" spans="1:9" x14ac:dyDescent="0.2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 s="1">
        <f t="shared" si="20"/>
        <v>428.9</v>
      </c>
      <c r="H699" s="1" t="str">
        <f>_xlfn.XLOOKUP(C699,Product!A:A,Product!B:B,"not found",0)</f>
        <v>Pure Cycles Vine 8-Speed - 2016</v>
      </c>
      <c r="I699" s="1">
        <f t="shared" si="21"/>
        <v>428.9</v>
      </c>
    </row>
    <row r="700" spans="1:9" x14ac:dyDescent="0.2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 s="1">
        <f t="shared" si="20"/>
        <v>2999.79</v>
      </c>
      <c r="H700" s="1" t="str">
        <f>_xlfn.XLOOKUP(C700,Product!A:A,Product!B:B,"not found",0)</f>
        <v>Trek Conduit+ - 2016</v>
      </c>
      <c r="I700" s="1">
        <f t="shared" si="21"/>
        <v>2999.79</v>
      </c>
    </row>
    <row r="701" spans="1:9" x14ac:dyDescent="0.2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 s="1">
        <f t="shared" si="20"/>
        <v>7999.9299999999994</v>
      </c>
      <c r="H701" s="1" t="str">
        <f>_xlfn.XLOOKUP(C701,Product!A:A,Product!B:B,"not found",0)</f>
        <v>Trek Slash 8 27.5 - 2016</v>
      </c>
      <c r="I701" s="1">
        <f t="shared" si="21"/>
        <v>7999.9299999999994</v>
      </c>
    </row>
    <row r="702" spans="1:9" x14ac:dyDescent="0.2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 s="1">
        <f t="shared" si="20"/>
        <v>897.95</v>
      </c>
      <c r="H702" s="1" t="str">
        <f>_xlfn.XLOOKUP(C702,Product!A:A,Product!B:B,"not found",0)</f>
        <v>Pure Cycles Western 3-Speed - Women's - 2015/2016</v>
      </c>
      <c r="I702" s="1">
        <f t="shared" si="21"/>
        <v>897.95</v>
      </c>
    </row>
    <row r="703" spans="1:9" x14ac:dyDescent="0.2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 s="1">
        <f t="shared" si="20"/>
        <v>269.89</v>
      </c>
      <c r="H703" s="1" t="str">
        <f>_xlfn.XLOOKUP(C703,Product!A:A,Product!B:B,"not found",0)</f>
        <v>Electra Girl's Hawaii 1 (16-inch) - 2015/2016</v>
      </c>
      <c r="I703" s="1">
        <f t="shared" si="21"/>
        <v>269.89</v>
      </c>
    </row>
    <row r="704" spans="1:9" x14ac:dyDescent="0.2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 s="1">
        <f t="shared" si="20"/>
        <v>857.95</v>
      </c>
      <c r="H704" s="1" t="str">
        <f>_xlfn.XLOOKUP(C704,Product!A:A,Product!B:B,"not found",0)</f>
        <v>Pure Cycles Vine 8-Speed - 2016</v>
      </c>
      <c r="I704" s="1">
        <f t="shared" si="21"/>
        <v>857.95</v>
      </c>
    </row>
    <row r="705" spans="1:9" x14ac:dyDescent="0.2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 s="1">
        <f t="shared" si="20"/>
        <v>3361.88</v>
      </c>
      <c r="H705" s="1" t="str">
        <f>_xlfn.XLOOKUP(C705,Product!A:A,Product!B:B,"not found",0)</f>
        <v>Surly Straggler 650b - 2016</v>
      </c>
      <c r="I705" s="1">
        <f t="shared" si="21"/>
        <v>3361.88</v>
      </c>
    </row>
    <row r="706" spans="1:9" x14ac:dyDescent="0.2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 s="1">
        <f t="shared" si="20"/>
        <v>599.78</v>
      </c>
      <c r="H706" s="1" t="str">
        <f>_xlfn.XLOOKUP(C706,Product!A:A,Product!B:B,"not found",0)</f>
        <v>Electra Girl's Hawaii 1 (20-inch) - 2015/2016</v>
      </c>
      <c r="I706" s="1">
        <f t="shared" si="21"/>
        <v>599.78</v>
      </c>
    </row>
    <row r="707" spans="1:9" x14ac:dyDescent="0.2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 s="1">
        <f t="shared" ref="G707:G770" si="22">(E707*D707)-F707</f>
        <v>539.93000000000006</v>
      </c>
      <c r="H707" s="1" t="str">
        <f>_xlfn.XLOOKUP(C707,Product!A:A,Product!B:B,"not found",0)</f>
        <v>Electra Girl's Hawaii 1 (16-inch) - 2015/2016</v>
      </c>
      <c r="I707" s="1">
        <f t="shared" ref="I707:I770" si="23">(D707*E707)-F707</f>
        <v>539.93000000000006</v>
      </c>
    </row>
    <row r="708" spans="1:9" x14ac:dyDescent="0.2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 s="1">
        <f t="shared" si="22"/>
        <v>3361.88</v>
      </c>
      <c r="H708" s="1" t="str">
        <f>_xlfn.XLOOKUP(C708,Product!A:A,Product!B:B,"not found",0)</f>
        <v>Surly Straggler 650b - 2016</v>
      </c>
      <c r="I708" s="1">
        <f t="shared" si="23"/>
        <v>3361.88</v>
      </c>
    </row>
    <row r="709" spans="1:9" x14ac:dyDescent="0.2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 s="1">
        <f t="shared" si="22"/>
        <v>2899.9199999999996</v>
      </c>
      <c r="H709" s="1" t="str">
        <f>_xlfn.XLOOKUP(C709,Product!A:A,Product!B:B,"not found",0)</f>
        <v>Trek Fuel EX 8 29 - 2016</v>
      </c>
      <c r="I709" s="1">
        <f t="shared" si="23"/>
        <v>2899.9199999999996</v>
      </c>
    </row>
    <row r="710" spans="1:9" x14ac:dyDescent="0.2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 s="1">
        <f t="shared" si="22"/>
        <v>448.9</v>
      </c>
      <c r="H710" s="1" t="str">
        <f>_xlfn.XLOOKUP(C710,Product!A:A,Product!B:B,"not found",0)</f>
        <v>Pure Cycles William 3-Speed - 2016</v>
      </c>
      <c r="I710" s="1">
        <f t="shared" si="23"/>
        <v>448.9</v>
      </c>
    </row>
    <row r="711" spans="1:9" x14ac:dyDescent="0.2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 s="1">
        <f t="shared" si="22"/>
        <v>3361.91</v>
      </c>
      <c r="H711" s="1" t="str">
        <f>_xlfn.XLOOKUP(C711,Product!A:A,Product!B:B,"not found",0)</f>
        <v>Surly Straggler 650b - 2016</v>
      </c>
      <c r="I711" s="1">
        <f t="shared" si="23"/>
        <v>3361.91</v>
      </c>
    </row>
    <row r="712" spans="1:9" x14ac:dyDescent="0.2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 s="1">
        <f t="shared" si="22"/>
        <v>939.91</v>
      </c>
      <c r="H712" s="1" t="str">
        <f>_xlfn.XLOOKUP(C712,Product!A:A,Product!B:B,"not found",0)</f>
        <v>Surly Ice Cream Truck Frameset - 2016</v>
      </c>
      <c r="I712" s="1">
        <f t="shared" si="23"/>
        <v>939.91</v>
      </c>
    </row>
    <row r="713" spans="1:9" x14ac:dyDescent="0.2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 s="1">
        <f t="shared" si="22"/>
        <v>999.94</v>
      </c>
      <c r="H713" s="1" t="str">
        <f>_xlfn.XLOOKUP(C713,Product!A:A,Product!B:B,"not found",0)</f>
        <v>Surly Wednesday Frameset - 2016</v>
      </c>
      <c r="I713" s="1">
        <f t="shared" si="23"/>
        <v>999.94</v>
      </c>
    </row>
    <row r="714" spans="1:9" x14ac:dyDescent="0.2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 s="1">
        <f t="shared" si="22"/>
        <v>549.94000000000005</v>
      </c>
      <c r="H714" s="1" t="str">
        <f>_xlfn.XLOOKUP(C714,Product!A:A,Product!B:B,"not found",0)</f>
        <v>Electra Townie Original 21D - 2016</v>
      </c>
      <c r="I714" s="1">
        <f t="shared" si="23"/>
        <v>549.94000000000005</v>
      </c>
    </row>
    <row r="715" spans="1:9" x14ac:dyDescent="0.2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 s="1">
        <f t="shared" si="22"/>
        <v>2641.88</v>
      </c>
      <c r="H715" s="1" t="str">
        <f>_xlfn.XLOOKUP(C715,Product!A:A,Product!B:B,"not found",0)</f>
        <v>Heller Shagamaw Frame - 2016</v>
      </c>
      <c r="I715" s="1">
        <f t="shared" si="23"/>
        <v>2641.88</v>
      </c>
    </row>
    <row r="716" spans="1:9" x14ac:dyDescent="0.2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 s="1">
        <f t="shared" si="22"/>
        <v>269.79000000000002</v>
      </c>
      <c r="H716" s="1" t="str">
        <f>_xlfn.XLOOKUP(C716,Product!A:A,Product!B:B,"not found",0)</f>
        <v>Electra Girl's Hawaii 1 (16-inch) - 2015/2016</v>
      </c>
      <c r="I716" s="1">
        <f t="shared" si="23"/>
        <v>269.79000000000002</v>
      </c>
    </row>
    <row r="717" spans="1:9" x14ac:dyDescent="0.2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 s="1">
        <f t="shared" si="22"/>
        <v>1499.78</v>
      </c>
      <c r="H717" s="1" t="str">
        <f>_xlfn.XLOOKUP(C717,Product!A:A,Product!B:B,"not found",0)</f>
        <v>Ritchey Timberwolf Frameset - 2016</v>
      </c>
      <c r="I717" s="1">
        <f t="shared" si="23"/>
        <v>1499.78</v>
      </c>
    </row>
    <row r="718" spans="1:9" x14ac:dyDescent="0.2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 s="1">
        <f t="shared" si="22"/>
        <v>269.92</v>
      </c>
      <c r="H718" s="1" t="str">
        <f>_xlfn.XLOOKUP(C718,Product!A:A,Product!B:B,"not found",0)</f>
        <v>Electra Cruiser 1 (24-Inch) - 2016</v>
      </c>
      <c r="I718" s="1">
        <f t="shared" si="23"/>
        <v>269.92</v>
      </c>
    </row>
    <row r="719" spans="1:9" x14ac:dyDescent="0.2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 s="1">
        <f t="shared" si="22"/>
        <v>1680.89</v>
      </c>
      <c r="H719" s="1" t="str">
        <f>_xlfn.XLOOKUP(C719,Product!A:A,Product!B:B,"not found",0)</f>
        <v>Surly Straggler 650b - 2016</v>
      </c>
      <c r="I719" s="1">
        <f t="shared" si="23"/>
        <v>1680.89</v>
      </c>
    </row>
    <row r="720" spans="1:9" x14ac:dyDescent="0.2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 s="1">
        <f t="shared" si="22"/>
        <v>269.94</v>
      </c>
      <c r="H720" s="1" t="str">
        <f>_xlfn.XLOOKUP(C720,Product!A:A,Product!B:B,"not found",0)</f>
        <v>Electra Cruiser 1 (24-Inch) - 2016</v>
      </c>
      <c r="I720" s="1">
        <f t="shared" si="23"/>
        <v>269.94</v>
      </c>
    </row>
    <row r="721" spans="1:9" x14ac:dyDescent="0.2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 s="1">
        <f t="shared" si="22"/>
        <v>3599.91</v>
      </c>
      <c r="H721" s="1" t="str">
        <f>_xlfn.XLOOKUP(C721,Product!A:A,Product!B:B,"not found",0)</f>
        <v>Trek Remedy 29 Carbon Frameset - 2016</v>
      </c>
      <c r="I721" s="1">
        <f t="shared" si="23"/>
        <v>3599.91</v>
      </c>
    </row>
    <row r="722" spans="1:9" x14ac:dyDescent="0.2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 s="1">
        <f t="shared" si="22"/>
        <v>539.78</v>
      </c>
      <c r="H722" s="1" t="str">
        <f>_xlfn.XLOOKUP(C722,Product!A:A,Product!B:B,"not found",0)</f>
        <v>Electra Cruiser 1 (24-Inch) - 2016</v>
      </c>
      <c r="I722" s="1">
        <f t="shared" si="23"/>
        <v>539.78</v>
      </c>
    </row>
    <row r="723" spans="1:9" x14ac:dyDescent="0.2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 s="1">
        <f t="shared" si="22"/>
        <v>3097.9</v>
      </c>
      <c r="H723" s="1" t="str">
        <f>_xlfn.XLOOKUP(C723,Product!A:A,Product!B:B,"not found",0)</f>
        <v>Surly Straggler - 2016</v>
      </c>
      <c r="I723" s="1">
        <f t="shared" si="23"/>
        <v>3097.9</v>
      </c>
    </row>
    <row r="724" spans="1:9" x14ac:dyDescent="0.2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 s="1">
        <f t="shared" si="22"/>
        <v>529.89</v>
      </c>
      <c r="H724" s="1" t="str">
        <f>_xlfn.XLOOKUP(C724,Product!A:A,Product!B:B,"not found",0)</f>
        <v>Electra Moto 1 - 2016</v>
      </c>
      <c r="I724" s="1">
        <f t="shared" si="23"/>
        <v>529.89</v>
      </c>
    </row>
    <row r="725" spans="1:9" x14ac:dyDescent="0.2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 s="1">
        <f t="shared" si="22"/>
        <v>3599.93</v>
      </c>
      <c r="H725" s="1" t="str">
        <f>_xlfn.XLOOKUP(C725,Product!A:A,Product!B:B,"not found",0)</f>
        <v>Trek Remedy 29 Carbon Frameset - 2016</v>
      </c>
      <c r="I725" s="1">
        <f t="shared" si="23"/>
        <v>3599.93</v>
      </c>
    </row>
    <row r="726" spans="1:9" x14ac:dyDescent="0.2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 s="1">
        <f t="shared" si="22"/>
        <v>2899.9199999999996</v>
      </c>
      <c r="H726" s="1" t="str">
        <f>_xlfn.XLOOKUP(C726,Product!A:A,Product!B:B,"not found",0)</f>
        <v>Trek Fuel EX 8 29 - 2016</v>
      </c>
      <c r="I726" s="1">
        <f t="shared" si="23"/>
        <v>2899.9199999999996</v>
      </c>
    </row>
    <row r="727" spans="1:9" x14ac:dyDescent="0.2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 s="1">
        <f t="shared" si="22"/>
        <v>448.93</v>
      </c>
      <c r="H727" s="1" t="str">
        <f>_xlfn.XLOOKUP(C727,Product!A:A,Product!B:B,"not found",0)</f>
        <v>Pure Cycles William 3-Speed - 2016</v>
      </c>
      <c r="I727" s="1">
        <f t="shared" si="23"/>
        <v>448.93</v>
      </c>
    </row>
    <row r="728" spans="1:9" x14ac:dyDescent="0.2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 s="1">
        <f t="shared" si="22"/>
        <v>448.95</v>
      </c>
      <c r="H728" s="1" t="str">
        <f>_xlfn.XLOOKUP(C728,Product!A:A,Product!B:B,"not found",0)</f>
        <v>Pure Cycles Western 3-Speed - Women's - 2015/2016</v>
      </c>
      <c r="I728" s="1">
        <f t="shared" si="23"/>
        <v>448.95</v>
      </c>
    </row>
    <row r="729" spans="1:9" x14ac:dyDescent="0.2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 s="1">
        <f t="shared" si="22"/>
        <v>599.94000000000005</v>
      </c>
      <c r="H729" s="1" t="str">
        <f>_xlfn.XLOOKUP(C729,Product!A:A,Product!B:B,"not found",0)</f>
        <v>Electra Townie Original 7D EQ - 2016</v>
      </c>
      <c r="I729" s="1">
        <f t="shared" si="23"/>
        <v>599.94000000000005</v>
      </c>
    </row>
    <row r="730" spans="1:9" x14ac:dyDescent="0.2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 s="1">
        <f t="shared" si="22"/>
        <v>939.88</v>
      </c>
      <c r="H730" s="1" t="str">
        <f>_xlfn.XLOOKUP(C730,Product!A:A,Product!B:B,"not found",0)</f>
        <v>Surly Ice Cream Truck Frameset - 2016</v>
      </c>
      <c r="I730" s="1">
        <f t="shared" si="23"/>
        <v>939.88</v>
      </c>
    </row>
    <row r="731" spans="1:9" x14ac:dyDescent="0.2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 s="1">
        <f t="shared" si="22"/>
        <v>1499.78</v>
      </c>
      <c r="H731" s="1" t="str">
        <f>_xlfn.XLOOKUP(C731,Product!A:A,Product!B:B,"not found",0)</f>
        <v>Ritchey Timberwolf Frameset - 2016</v>
      </c>
      <c r="I731" s="1">
        <f t="shared" si="23"/>
        <v>1499.78</v>
      </c>
    </row>
    <row r="732" spans="1:9" x14ac:dyDescent="0.2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 s="1">
        <f t="shared" si="22"/>
        <v>2899.89</v>
      </c>
      <c r="H732" s="1" t="str">
        <f>_xlfn.XLOOKUP(C732,Product!A:A,Product!B:B,"not found",0)</f>
        <v>Trek Fuel EX 8 29 - 2016</v>
      </c>
      <c r="I732" s="1">
        <f t="shared" si="23"/>
        <v>2899.89</v>
      </c>
    </row>
    <row r="733" spans="1:9" x14ac:dyDescent="0.2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 s="1">
        <f t="shared" si="22"/>
        <v>599.78</v>
      </c>
      <c r="H733" s="1" t="str">
        <f>_xlfn.XLOOKUP(C733,Product!A:A,Product!B:B,"not found",0)</f>
        <v>Electra Girl's Hawaii 1 (20-inch) - 2015/2016</v>
      </c>
      <c r="I733" s="1">
        <f t="shared" si="23"/>
        <v>599.78</v>
      </c>
    </row>
    <row r="734" spans="1:9" x14ac:dyDescent="0.2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 s="1">
        <f t="shared" si="22"/>
        <v>1548.8</v>
      </c>
      <c r="H734" s="1" t="str">
        <f>_xlfn.XLOOKUP(C734,Product!A:A,Product!B:B,"not found",0)</f>
        <v>Surly Straggler - 2016</v>
      </c>
      <c r="I734" s="1">
        <f t="shared" si="23"/>
        <v>1548.8</v>
      </c>
    </row>
    <row r="735" spans="1:9" x14ac:dyDescent="0.2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 s="1">
        <f t="shared" si="22"/>
        <v>1099.78</v>
      </c>
      <c r="H735" s="1" t="str">
        <f>_xlfn.XLOOKUP(C735,Product!A:A,Product!B:B,"not found",0)</f>
        <v>Electra Townie Original 21D - 2016</v>
      </c>
      <c r="I735" s="1">
        <f t="shared" si="23"/>
        <v>1099.78</v>
      </c>
    </row>
    <row r="736" spans="1:9" x14ac:dyDescent="0.2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 s="1">
        <f t="shared" si="22"/>
        <v>1199.93</v>
      </c>
      <c r="H736" s="1" t="str">
        <f>_xlfn.XLOOKUP(C736,Product!A:A,Product!B:B,"not found",0)</f>
        <v>Electra Townie Original 7D EQ - 2016</v>
      </c>
      <c r="I736" s="1">
        <f t="shared" si="23"/>
        <v>1199.93</v>
      </c>
    </row>
    <row r="737" spans="1:9" x14ac:dyDescent="0.2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 s="1">
        <f t="shared" si="22"/>
        <v>269.89</v>
      </c>
      <c r="H737" s="1" t="str">
        <f>_xlfn.XLOOKUP(C737,Product!A:A,Product!B:B,"not found",0)</f>
        <v>Electra Girl's Hawaii 1 (16-inch) - 2015/2016</v>
      </c>
      <c r="I737" s="1">
        <f t="shared" si="23"/>
        <v>269.89</v>
      </c>
    </row>
    <row r="738" spans="1:9" x14ac:dyDescent="0.2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 s="1">
        <f t="shared" si="22"/>
        <v>857.9</v>
      </c>
      <c r="H738" s="1" t="str">
        <f>_xlfn.XLOOKUP(C738,Product!A:A,Product!B:B,"not found",0)</f>
        <v>Pure Cycles Vine 8-Speed - 2016</v>
      </c>
      <c r="I738" s="1">
        <f t="shared" si="23"/>
        <v>857.9</v>
      </c>
    </row>
    <row r="739" spans="1:9" x14ac:dyDescent="0.2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 s="1">
        <f t="shared" si="22"/>
        <v>749.92</v>
      </c>
      <c r="H739" s="1" t="str">
        <f>_xlfn.XLOOKUP(C739,Product!A:A,Product!B:B,"not found",0)</f>
        <v>Ritchey Timberwolf Frameset - 2016</v>
      </c>
      <c r="I739" s="1">
        <f t="shared" si="23"/>
        <v>749.92</v>
      </c>
    </row>
    <row r="740" spans="1:9" x14ac:dyDescent="0.2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 s="1">
        <f t="shared" si="22"/>
        <v>5999.9299999999994</v>
      </c>
      <c r="H740" s="1" t="str">
        <f>_xlfn.XLOOKUP(C740,Product!A:A,Product!B:B,"not found",0)</f>
        <v>Trek Conduit+ - 2016</v>
      </c>
      <c r="I740" s="1">
        <f t="shared" si="23"/>
        <v>5999.9299999999994</v>
      </c>
    </row>
    <row r="741" spans="1:9" x14ac:dyDescent="0.2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 s="1">
        <f t="shared" si="22"/>
        <v>2999.9199999999996</v>
      </c>
      <c r="H741" s="1" t="str">
        <f>_xlfn.XLOOKUP(C741,Product!A:A,Product!B:B,"not found",0)</f>
        <v>Trek Conduit+ - 2016</v>
      </c>
      <c r="I741" s="1">
        <f t="shared" si="23"/>
        <v>2999.9199999999996</v>
      </c>
    </row>
    <row r="742" spans="1:9" x14ac:dyDescent="0.2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 s="1">
        <f t="shared" si="22"/>
        <v>999.79</v>
      </c>
      <c r="H742" s="1" t="str">
        <f>_xlfn.XLOOKUP(C742,Product!A:A,Product!B:B,"not found",0)</f>
        <v>Surly Wednesday Frameset - 2016</v>
      </c>
      <c r="I742" s="1">
        <f t="shared" si="23"/>
        <v>999.79</v>
      </c>
    </row>
    <row r="743" spans="1:9" x14ac:dyDescent="0.2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 s="1">
        <f t="shared" si="22"/>
        <v>1499.93</v>
      </c>
      <c r="H743" s="1" t="str">
        <f>_xlfn.XLOOKUP(C743,Product!A:A,Product!B:B,"not found",0)</f>
        <v>Ritchey Timberwolf Frameset - 2016</v>
      </c>
      <c r="I743" s="1">
        <f t="shared" si="23"/>
        <v>1499.93</v>
      </c>
    </row>
    <row r="744" spans="1:9" x14ac:dyDescent="0.2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 s="1">
        <f t="shared" si="22"/>
        <v>1548.8</v>
      </c>
      <c r="H744" s="1" t="str">
        <f>_xlfn.XLOOKUP(C744,Product!A:A,Product!B:B,"not found",0)</f>
        <v>Surly Straggler - 2016</v>
      </c>
      <c r="I744" s="1">
        <f t="shared" si="23"/>
        <v>1548.8</v>
      </c>
    </row>
    <row r="745" spans="1:9" x14ac:dyDescent="0.2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 s="1">
        <f t="shared" si="22"/>
        <v>1099.93</v>
      </c>
      <c r="H745" s="1" t="str">
        <f>_xlfn.XLOOKUP(C745,Product!A:A,Product!B:B,"not found",0)</f>
        <v>Electra Townie Original 21D - 2016</v>
      </c>
      <c r="I745" s="1">
        <f t="shared" si="23"/>
        <v>1099.93</v>
      </c>
    </row>
    <row r="746" spans="1:9" x14ac:dyDescent="0.2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 s="1">
        <f t="shared" si="22"/>
        <v>1059.8800000000001</v>
      </c>
      <c r="H746" s="1" t="str">
        <f>_xlfn.XLOOKUP(C746,Product!A:A,Product!B:B,"not found",0)</f>
        <v>Electra Moto 1 - 2016</v>
      </c>
      <c r="I746" s="1">
        <f t="shared" si="23"/>
        <v>1059.8800000000001</v>
      </c>
    </row>
    <row r="747" spans="1:9" x14ac:dyDescent="0.2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 s="1">
        <f t="shared" si="22"/>
        <v>1999.91</v>
      </c>
      <c r="H747" s="1" t="str">
        <f>_xlfn.XLOOKUP(C747,Product!A:A,Product!B:B,"not found",0)</f>
        <v>Surly Wednesday Frameset - 2016</v>
      </c>
      <c r="I747" s="1">
        <f t="shared" si="23"/>
        <v>1999.91</v>
      </c>
    </row>
    <row r="748" spans="1:9" x14ac:dyDescent="0.2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 s="1">
        <f t="shared" si="22"/>
        <v>5999.78</v>
      </c>
      <c r="H748" s="1" t="str">
        <f>_xlfn.XLOOKUP(C748,Product!A:A,Product!B:B,"not found",0)</f>
        <v>Trek Conduit+ - 2016</v>
      </c>
      <c r="I748" s="1">
        <f t="shared" si="23"/>
        <v>5999.78</v>
      </c>
    </row>
    <row r="749" spans="1:9" x14ac:dyDescent="0.2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 s="1">
        <f t="shared" si="22"/>
        <v>939.91</v>
      </c>
      <c r="H749" s="1" t="str">
        <f>_xlfn.XLOOKUP(C749,Product!A:A,Product!B:B,"not found",0)</f>
        <v>Surly Ice Cream Truck Frameset - 2016</v>
      </c>
      <c r="I749" s="1">
        <f t="shared" si="23"/>
        <v>939.91</v>
      </c>
    </row>
    <row r="750" spans="1:9" x14ac:dyDescent="0.2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 s="1">
        <f t="shared" si="22"/>
        <v>448.8</v>
      </c>
      <c r="H750" s="1" t="str">
        <f>_xlfn.XLOOKUP(C750,Product!A:A,Product!B:B,"not found",0)</f>
        <v>Pure Cycles William 3-Speed - 2016</v>
      </c>
      <c r="I750" s="1">
        <f t="shared" si="23"/>
        <v>448.8</v>
      </c>
    </row>
    <row r="751" spans="1:9" x14ac:dyDescent="0.2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 s="1">
        <f t="shared" si="22"/>
        <v>499.94</v>
      </c>
      <c r="H751" s="1" t="str">
        <f>_xlfn.XLOOKUP(C751,Product!A:A,Product!B:B,"not found",0)</f>
        <v>Electra Townie Original 7D - 2015/2016</v>
      </c>
      <c r="I751" s="1">
        <f t="shared" si="23"/>
        <v>499.94</v>
      </c>
    </row>
    <row r="752" spans="1:9" x14ac:dyDescent="0.2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 s="1">
        <f t="shared" si="22"/>
        <v>539.78</v>
      </c>
      <c r="H752" s="1" t="str">
        <f>_xlfn.XLOOKUP(C752,Product!A:A,Product!B:B,"not found",0)</f>
        <v>Electra Girl's Hawaii 1 (16-inch) - 2015/2016</v>
      </c>
      <c r="I752" s="1">
        <f t="shared" si="23"/>
        <v>539.78</v>
      </c>
    </row>
    <row r="753" spans="1:9" x14ac:dyDescent="0.2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 s="1">
        <f t="shared" si="22"/>
        <v>599.88</v>
      </c>
      <c r="H753" s="1" t="str">
        <f>_xlfn.XLOOKUP(C753,Product!A:A,Product!B:B,"not found",0)</f>
        <v>Electra Girl's Hawaii 1 (20-inch) - 2015/2016</v>
      </c>
      <c r="I753" s="1">
        <f t="shared" si="23"/>
        <v>599.88</v>
      </c>
    </row>
    <row r="754" spans="1:9" x14ac:dyDescent="0.2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 s="1">
        <f t="shared" si="22"/>
        <v>549.89</v>
      </c>
      <c r="H754" s="1" t="str">
        <f>_xlfn.XLOOKUP(C754,Product!A:A,Product!B:B,"not found",0)</f>
        <v>Electra Townie Original 21D - 2016</v>
      </c>
      <c r="I754" s="1">
        <f t="shared" si="23"/>
        <v>549.89</v>
      </c>
    </row>
    <row r="755" spans="1:9" x14ac:dyDescent="0.2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 s="1">
        <f t="shared" si="22"/>
        <v>7999.91</v>
      </c>
      <c r="H755" s="1" t="str">
        <f>_xlfn.XLOOKUP(C755,Product!A:A,Product!B:B,"not found",0)</f>
        <v>Trek Slash 8 27.5 - 2016</v>
      </c>
      <c r="I755" s="1">
        <f t="shared" si="23"/>
        <v>7999.91</v>
      </c>
    </row>
    <row r="756" spans="1:9" x14ac:dyDescent="0.2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 s="1">
        <f t="shared" si="22"/>
        <v>269.94</v>
      </c>
      <c r="H756" s="1" t="str">
        <f>_xlfn.XLOOKUP(C756,Product!A:A,Product!B:B,"not found",0)</f>
        <v>Electra Cruiser 1 (24-Inch) - 2016</v>
      </c>
      <c r="I756" s="1">
        <f t="shared" si="23"/>
        <v>269.94</v>
      </c>
    </row>
    <row r="757" spans="1:9" x14ac:dyDescent="0.2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 s="1">
        <f t="shared" si="22"/>
        <v>3999.9399999999996</v>
      </c>
      <c r="H757" s="1" t="str">
        <f>_xlfn.XLOOKUP(C757,Product!A:A,Product!B:B,"not found",0)</f>
        <v>Trek Slash 8 27.5 - 2016</v>
      </c>
      <c r="I757" s="1">
        <f t="shared" si="23"/>
        <v>3999.9399999999996</v>
      </c>
    </row>
    <row r="758" spans="1:9" x14ac:dyDescent="0.2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 s="1">
        <f t="shared" si="22"/>
        <v>939.78</v>
      </c>
      <c r="H758" s="1" t="str">
        <f>_xlfn.XLOOKUP(C758,Product!A:A,Product!B:B,"not found",0)</f>
        <v>Surly Ice Cream Truck Frameset - 2016</v>
      </c>
      <c r="I758" s="1">
        <f t="shared" si="23"/>
        <v>939.78</v>
      </c>
    </row>
    <row r="759" spans="1:9" x14ac:dyDescent="0.2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 s="1">
        <f t="shared" si="22"/>
        <v>2999.89</v>
      </c>
      <c r="H759" s="1" t="str">
        <f>_xlfn.XLOOKUP(C759,Product!A:A,Product!B:B,"not found",0)</f>
        <v>Trek Conduit+ - 2016</v>
      </c>
      <c r="I759" s="1">
        <f t="shared" si="23"/>
        <v>2999.89</v>
      </c>
    </row>
    <row r="760" spans="1:9" x14ac:dyDescent="0.2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 s="1">
        <f t="shared" si="22"/>
        <v>1320.92</v>
      </c>
      <c r="H760" s="1" t="str">
        <f>_xlfn.XLOOKUP(C760,Product!A:A,Product!B:B,"not found",0)</f>
        <v>Heller Shagamaw Frame - 2016</v>
      </c>
      <c r="I760" s="1">
        <f t="shared" si="23"/>
        <v>1320.92</v>
      </c>
    </row>
    <row r="761" spans="1:9" x14ac:dyDescent="0.2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 s="1">
        <f t="shared" si="22"/>
        <v>599.91</v>
      </c>
      <c r="H761" s="1" t="str">
        <f>_xlfn.XLOOKUP(C761,Product!A:A,Product!B:B,"not found",0)</f>
        <v>Electra Girl's Hawaii 1 (20-inch) - 2015/2016</v>
      </c>
      <c r="I761" s="1">
        <f t="shared" si="23"/>
        <v>599.91</v>
      </c>
    </row>
    <row r="762" spans="1:9" x14ac:dyDescent="0.2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 s="1">
        <f t="shared" si="22"/>
        <v>448.95</v>
      </c>
      <c r="H762" s="1" t="str">
        <f>_xlfn.XLOOKUP(C762,Product!A:A,Product!B:B,"not found",0)</f>
        <v>Pure Cycles Western 3-Speed - Women's - 2015/2016</v>
      </c>
      <c r="I762" s="1">
        <f t="shared" si="23"/>
        <v>448.95</v>
      </c>
    </row>
    <row r="763" spans="1:9" x14ac:dyDescent="0.2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 s="1">
        <f t="shared" si="22"/>
        <v>999.94</v>
      </c>
      <c r="H763" s="1" t="str">
        <f>_xlfn.XLOOKUP(C763,Product!A:A,Product!B:B,"not found",0)</f>
        <v>Surly Wednesday Frameset - 2016</v>
      </c>
      <c r="I763" s="1">
        <f t="shared" si="23"/>
        <v>999.94</v>
      </c>
    </row>
    <row r="764" spans="1:9" x14ac:dyDescent="0.2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 s="1">
        <f t="shared" si="22"/>
        <v>999.78</v>
      </c>
      <c r="H764" s="1" t="str">
        <f>_xlfn.XLOOKUP(C764,Product!A:A,Product!B:B,"not found",0)</f>
        <v>Electra Townie Original 7D - 2015/2016</v>
      </c>
      <c r="I764" s="1">
        <f t="shared" si="23"/>
        <v>999.78</v>
      </c>
    </row>
    <row r="765" spans="1:9" x14ac:dyDescent="0.2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 s="1">
        <f t="shared" si="22"/>
        <v>529.89</v>
      </c>
      <c r="H765" s="1" t="str">
        <f>_xlfn.XLOOKUP(C765,Product!A:A,Product!B:B,"not found",0)</f>
        <v>Electra Moto 1 - 2016</v>
      </c>
      <c r="I765" s="1">
        <f t="shared" si="23"/>
        <v>529.89</v>
      </c>
    </row>
    <row r="766" spans="1:9" x14ac:dyDescent="0.2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 s="1">
        <f t="shared" si="22"/>
        <v>3361.91</v>
      </c>
      <c r="H766" s="1" t="str">
        <f>_xlfn.XLOOKUP(C766,Product!A:A,Product!B:B,"not found",0)</f>
        <v>Surly Straggler 650b - 2016</v>
      </c>
      <c r="I766" s="1">
        <f t="shared" si="23"/>
        <v>3361.91</v>
      </c>
    </row>
    <row r="767" spans="1:9" x14ac:dyDescent="0.2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 s="1">
        <f t="shared" si="22"/>
        <v>939.93000000000006</v>
      </c>
      <c r="H767" s="1" t="str">
        <f>_xlfn.XLOOKUP(C767,Product!A:A,Product!B:B,"not found",0)</f>
        <v>Surly Ice Cream Truck Frameset - 2016</v>
      </c>
      <c r="I767" s="1">
        <f t="shared" si="23"/>
        <v>939.93000000000006</v>
      </c>
    </row>
    <row r="768" spans="1:9" x14ac:dyDescent="0.2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 s="1">
        <f t="shared" si="22"/>
        <v>269.89</v>
      </c>
      <c r="H768" s="1" t="str">
        <f>_xlfn.XLOOKUP(C768,Product!A:A,Product!B:B,"not found",0)</f>
        <v>Electra Cruiser 1 (24-Inch) - 2016</v>
      </c>
      <c r="I768" s="1">
        <f t="shared" si="23"/>
        <v>269.89</v>
      </c>
    </row>
    <row r="769" spans="1:9" x14ac:dyDescent="0.2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 s="1">
        <f t="shared" si="22"/>
        <v>7999.8799999999992</v>
      </c>
      <c r="H769" s="1" t="str">
        <f>_xlfn.XLOOKUP(C769,Product!A:A,Product!B:B,"not found",0)</f>
        <v>Trek Slash 8 27.5 - 2016</v>
      </c>
      <c r="I769" s="1">
        <f t="shared" si="23"/>
        <v>7999.8799999999992</v>
      </c>
    </row>
    <row r="770" spans="1:9" x14ac:dyDescent="0.2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 s="1">
        <f t="shared" si="22"/>
        <v>1499.91</v>
      </c>
      <c r="H770" s="1" t="str">
        <f>_xlfn.XLOOKUP(C770,Product!A:A,Product!B:B,"not found",0)</f>
        <v>Ritchey Timberwolf Frameset - 2016</v>
      </c>
      <c r="I770" s="1">
        <f t="shared" si="23"/>
        <v>1499.91</v>
      </c>
    </row>
    <row r="771" spans="1:9" x14ac:dyDescent="0.2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 s="1">
        <f t="shared" ref="G771:G834" si="24">(E771*D771)-F771</f>
        <v>1680.92</v>
      </c>
      <c r="H771" s="1" t="str">
        <f>_xlfn.XLOOKUP(C771,Product!A:A,Product!B:B,"not found",0)</f>
        <v>Surly Straggler 650b - 2016</v>
      </c>
      <c r="I771" s="1">
        <f t="shared" ref="I771:I834" si="25">(D771*E771)-F771</f>
        <v>1680.92</v>
      </c>
    </row>
    <row r="772" spans="1:9" x14ac:dyDescent="0.2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 s="1">
        <f t="shared" si="24"/>
        <v>269.89</v>
      </c>
      <c r="H772" s="1" t="str">
        <f>_xlfn.XLOOKUP(C772,Product!A:A,Product!B:B,"not found",0)</f>
        <v>Electra Cruiser 1 (24-Inch) - 2016</v>
      </c>
      <c r="I772" s="1">
        <f t="shared" si="25"/>
        <v>269.89</v>
      </c>
    </row>
    <row r="773" spans="1:9" x14ac:dyDescent="0.2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 s="1">
        <f t="shared" si="24"/>
        <v>3361.93</v>
      </c>
      <c r="H773" s="1" t="str">
        <f>_xlfn.XLOOKUP(C773,Product!A:A,Product!B:B,"not found",0)</f>
        <v>Surly Straggler 650b - 2016</v>
      </c>
      <c r="I773" s="1">
        <f t="shared" si="25"/>
        <v>3361.93</v>
      </c>
    </row>
    <row r="774" spans="1:9" x14ac:dyDescent="0.2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 s="1">
        <f t="shared" si="24"/>
        <v>999.88</v>
      </c>
      <c r="H774" s="1" t="str">
        <f>_xlfn.XLOOKUP(C774,Product!A:A,Product!B:B,"not found",0)</f>
        <v>Electra Townie Original 7D - 2015/2016</v>
      </c>
      <c r="I774" s="1">
        <f t="shared" si="25"/>
        <v>999.88</v>
      </c>
    </row>
    <row r="775" spans="1:9" x14ac:dyDescent="0.2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 s="1">
        <f t="shared" si="24"/>
        <v>5999.91</v>
      </c>
      <c r="H775" s="1" t="str">
        <f>_xlfn.XLOOKUP(C775,Product!A:A,Product!B:B,"not found",0)</f>
        <v>Trek Conduit+ - 2016</v>
      </c>
      <c r="I775" s="1">
        <f t="shared" si="25"/>
        <v>5999.91</v>
      </c>
    </row>
    <row r="776" spans="1:9" x14ac:dyDescent="0.2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 s="1">
        <f t="shared" si="24"/>
        <v>448.95</v>
      </c>
      <c r="H776" s="1" t="str">
        <f>_xlfn.XLOOKUP(C776,Product!A:A,Product!B:B,"not found",0)</f>
        <v>Pure Cycles Western 3-Speed - Women's - 2015/2016</v>
      </c>
      <c r="I776" s="1">
        <f t="shared" si="25"/>
        <v>448.95</v>
      </c>
    </row>
    <row r="777" spans="1:9" x14ac:dyDescent="0.2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 s="1">
        <f t="shared" si="24"/>
        <v>499.89</v>
      </c>
      <c r="H777" s="1" t="str">
        <f>_xlfn.XLOOKUP(C777,Product!A:A,Product!B:B,"not found",0)</f>
        <v>Electra Townie Original 7D - 2015/2016</v>
      </c>
      <c r="I777" s="1">
        <f t="shared" si="25"/>
        <v>499.89</v>
      </c>
    </row>
    <row r="778" spans="1:9" x14ac:dyDescent="0.2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 s="1">
        <f t="shared" si="24"/>
        <v>7999.9299999999994</v>
      </c>
      <c r="H778" s="1" t="str">
        <f>_xlfn.XLOOKUP(C778,Product!A:A,Product!B:B,"not found",0)</f>
        <v>Trek Slash 8 27.5 - 2016</v>
      </c>
      <c r="I778" s="1">
        <f t="shared" si="25"/>
        <v>7999.9299999999994</v>
      </c>
    </row>
    <row r="779" spans="1:9" x14ac:dyDescent="0.2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 s="1">
        <f t="shared" si="24"/>
        <v>1999.78</v>
      </c>
      <c r="H779" s="1" t="str">
        <f>_xlfn.XLOOKUP(C779,Product!A:A,Product!B:B,"not found",0)</f>
        <v>Surly Wednesday Frameset - 2016</v>
      </c>
      <c r="I779" s="1">
        <f t="shared" si="25"/>
        <v>1999.78</v>
      </c>
    </row>
    <row r="780" spans="1:9" x14ac:dyDescent="0.2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 s="1">
        <f t="shared" si="24"/>
        <v>428.95</v>
      </c>
      <c r="H780" s="1" t="str">
        <f>_xlfn.XLOOKUP(C780,Product!A:A,Product!B:B,"not found",0)</f>
        <v>Pure Cycles Vine 8-Speed - 2016</v>
      </c>
      <c r="I780" s="1">
        <f t="shared" si="25"/>
        <v>428.95</v>
      </c>
    </row>
    <row r="781" spans="1:9" x14ac:dyDescent="0.2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 s="1">
        <f t="shared" si="24"/>
        <v>5999.91</v>
      </c>
      <c r="H781" s="1" t="str">
        <f>_xlfn.XLOOKUP(C781,Product!A:A,Product!B:B,"not found",0)</f>
        <v>Trek Conduit+ - 2016</v>
      </c>
      <c r="I781" s="1">
        <f t="shared" si="25"/>
        <v>5999.91</v>
      </c>
    </row>
    <row r="782" spans="1:9" x14ac:dyDescent="0.2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 s="1">
        <f t="shared" si="24"/>
        <v>1199.78</v>
      </c>
      <c r="H782" s="1" t="str">
        <f>_xlfn.XLOOKUP(C782,Product!A:A,Product!B:B,"not found",0)</f>
        <v>Electra Townie Original 7D EQ - Women's - 2016</v>
      </c>
      <c r="I782" s="1">
        <f t="shared" si="25"/>
        <v>1199.78</v>
      </c>
    </row>
    <row r="783" spans="1:9" x14ac:dyDescent="0.2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 s="1">
        <f t="shared" si="24"/>
        <v>939.78</v>
      </c>
      <c r="H783" s="1" t="str">
        <f>_xlfn.XLOOKUP(C783,Product!A:A,Product!B:B,"not found",0)</f>
        <v>Surly Ice Cream Truck Frameset - 2016</v>
      </c>
      <c r="I783" s="1">
        <f t="shared" si="25"/>
        <v>939.78</v>
      </c>
    </row>
    <row r="784" spans="1:9" x14ac:dyDescent="0.2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 s="1">
        <f t="shared" si="24"/>
        <v>539.88</v>
      </c>
      <c r="H784" s="1" t="str">
        <f>_xlfn.XLOOKUP(C784,Product!A:A,Product!B:B,"not found",0)</f>
        <v>Electra Cruiser 1 (24-Inch) - 2016</v>
      </c>
      <c r="I784" s="1">
        <f t="shared" si="25"/>
        <v>539.88</v>
      </c>
    </row>
    <row r="785" spans="1:9" x14ac:dyDescent="0.2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 s="1">
        <f t="shared" si="24"/>
        <v>599.79</v>
      </c>
      <c r="H785" s="1" t="str">
        <f>_xlfn.XLOOKUP(C785,Product!A:A,Product!B:B,"not found",0)</f>
        <v>Electra Townie Original 7D EQ - 2016</v>
      </c>
      <c r="I785" s="1">
        <f t="shared" si="25"/>
        <v>599.79</v>
      </c>
    </row>
    <row r="786" spans="1:9" x14ac:dyDescent="0.2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 s="1">
        <f t="shared" si="24"/>
        <v>897.93</v>
      </c>
      <c r="H786" s="1" t="str">
        <f>_xlfn.XLOOKUP(C786,Product!A:A,Product!B:B,"not found",0)</f>
        <v>Pure Cycles William 3-Speed - 2016</v>
      </c>
      <c r="I786" s="1">
        <f t="shared" si="25"/>
        <v>897.93</v>
      </c>
    </row>
    <row r="787" spans="1:9" x14ac:dyDescent="0.2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 s="1">
        <f t="shared" si="24"/>
        <v>269.92</v>
      </c>
      <c r="H787" s="1" t="str">
        <f>_xlfn.XLOOKUP(C787,Product!A:A,Product!B:B,"not found",0)</f>
        <v>Electra Cruiser 1 (24-Inch) - 2016</v>
      </c>
      <c r="I787" s="1">
        <f t="shared" si="25"/>
        <v>269.92</v>
      </c>
    </row>
    <row r="788" spans="1:9" x14ac:dyDescent="0.2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 s="1">
        <f t="shared" si="24"/>
        <v>3361.91</v>
      </c>
      <c r="H788" s="1" t="str">
        <f>_xlfn.XLOOKUP(C788,Product!A:A,Product!B:B,"not found",0)</f>
        <v>Surly Straggler 650b - 2016</v>
      </c>
      <c r="I788" s="1">
        <f t="shared" si="25"/>
        <v>3361.91</v>
      </c>
    </row>
    <row r="789" spans="1:9" x14ac:dyDescent="0.2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 s="1">
        <f t="shared" si="24"/>
        <v>499.92</v>
      </c>
      <c r="H789" s="1" t="str">
        <f>_xlfn.XLOOKUP(C789,Product!A:A,Product!B:B,"not found",0)</f>
        <v>Electra Townie Original 7D - 2015/2016</v>
      </c>
      <c r="I789" s="1">
        <f t="shared" si="25"/>
        <v>499.92</v>
      </c>
    </row>
    <row r="790" spans="1:9" x14ac:dyDescent="0.2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 s="1">
        <f t="shared" si="24"/>
        <v>499.92</v>
      </c>
      <c r="H790" s="1" t="str">
        <f>_xlfn.XLOOKUP(C790,Product!A:A,Product!B:B,"not found",0)</f>
        <v>Electra Townie Original 7D - 2015/2016</v>
      </c>
      <c r="I790" s="1">
        <f t="shared" si="25"/>
        <v>499.92</v>
      </c>
    </row>
    <row r="791" spans="1:9" x14ac:dyDescent="0.2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 s="1">
        <f t="shared" si="24"/>
        <v>1199.9100000000001</v>
      </c>
      <c r="H791" s="1" t="str">
        <f>_xlfn.XLOOKUP(C791,Product!A:A,Product!B:B,"not found",0)</f>
        <v>Electra Townie Original 7D EQ - 2016</v>
      </c>
      <c r="I791" s="1">
        <f t="shared" si="25"/>
        <v>1199.9100000000001</v>
      </c>
    </row>
    <row r="792" spans="1:9" x14ac:dyDescent="0.2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 s="1">
        <f t="shared" si="24"/>
        <v>269.92</v>
      </c>
      <c r="H792" s="1" t="str">
        <f>_xlfn.XLOOKUP(C792,Product!A:A,Product!B:B,"not found",0)</f>
        <v>Electra Cruiser 1 (24-Inch) - 2016</v>
      </c>
      <c r="I792" s="1">
        <f t="shared" si="25"/>
        <v>269.92</v>
      </c>
    </row>
    <row r="793" spans="1:9" x14ac:dyDescent="0.2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 s="1">
        <f t="shared" si="24"/>
        <v>269.92</v>
      </c>
      <c r="H793" s="1" t="str">
        <f>_xlfn.XLOOKUP(C793,Product!A:A,Product!B:B,"not found",0)</f>
        <v>Electra Girl's Hawaii 1 (16-inch) - 2015/2016</v>
      </c>
      <c r="I793" s="1">
        <f t="shared" si="25"/>
        <v>269.92</v>
      </c>
    </row>
    <row r="794" spans="1:9" x14ac:dyDescent="0.2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 s="1">
        <f t="shared" si="24"/>
        <v>539.88</v>
      </c>
      <c r="H794" s="1" t="str">
        <f>_xlfn.XLOOKUP(C794,Product!A:A,Product!B:B,"not found",0)</f>
        <v>Electra Girl's Hawaii 1 (16-inch) - 2015/2016</v>
      </c>
      <c r="I794" s="1">
        <f t="shared" si="25"/>
        <v>539.88</v>
      </c>
    </row>
    <row r="795" spans="1:9" x14ac:dyDescent="0.2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 s="1">
        <f t="shared" si="24"/>
        <v>7999.91</v>
      </c>
      <c r="H795" s="1" t="str">
        <f>_xlfn.XLOOKUP(C795,Product!A:A,Product!B:B,"not found",0)</f>
        <v>Trek Slash 8 27.5 - 2016</v>
      </c>
      <c r="I795" s="1">
        <f t="shared" si="25"/>
        <v>7999.91</v>
      </c>
    </row>
    <row r="796" spans="1:9" x14ac:dyDescent="0.2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 s="1">
        <f t="shared" si="24"/>
        <v>599.91999999999996</v>
      </c>
      <c r="H796" s="1" t="str">
        <f>_xlfn.XLOOKUP(C796,Product!A:A,Product!B:B,"not found",0)</f>
        <v>Electra Townie Original 7D EQ - Women's - 2016</v>
      </c>
      <c r="I796" s="1">
        <f t="shared" si="25"/>
        <v>599.91999999999996</v>
      </c>
    </row>
    <row r="797" spans="1:9" x14ac:dyDescent="0.2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 s="1">
        <f t="shared" si="24"/>
        <v>7999.91</v>
      </c>
      <c r="H797" s="1" t="str">
        <f>_xlfn.XLOOKUP(C797,Product!A:A,Product!B:B,"not found",0)</f>
        <v>Trek Slash 8 27.5 - 2016</v>
      </c>
      <c r="I797" s="1">
        <f t="shared" si="25"/>
        <v>7999.91</v>
      </c>
    </row>
    <row r="798" spans="1:9" x14ac:dyDescent="0.2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 s="1">
        <f t="shared" si="24"/>
        <v>1999.93</v>
      </c>
      <c r="H798" s="1" t="str">
        <f>_xlfn.XLOOKUP(C798,Product!A:A,Product!B:B,"not found",0)</f>
        <v>Surly Wednesday Frameset - 2016</v>
      </c>
      <c r="I798" s="1">
        <f t="shared" si="25"/>
        <v>1999.93</v>
      </c>
    </row>
    <row r="799" spans="1:9" x14ac:dyDescent="0.2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 s="1">
        <f t="shared" si="24"/>
        <v>1199.9100000000001</v>
      </c>
      <c r="H799" s="1" t="str">
        <f>_xlfn.XLOOKUP(C799,Product!A:A,Product!B:B,"not found",0)</f>
        <v>Electra Townie Original 7D EQ - 2016</v>
      </c>
      <c r="I799" s="1">
        <f t="shared" si="25"/>
        <v>1199.9100000000001</v>
      </c>
    </row>
    <row r="800" spans="1:9" x14ac:dyDescent="0.2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 s="1">
        <f t="shared" si="24"/>
        <v>2999.9399999999996</v>
      </c>
      <c r="H800" s="1" t="str">
        <f>_xlfn.XLOOKUP(C800,Product!A:A,Product!B:B,"not found",0)</f>
        <v>Trek Conduit+ - 2016</v>
      </c>
      <c r="I800" s="1">
        <f t="shared" si="25"/>
        <v>2999.9399999999996</v>
      </c>
    </row>
    <row r="801" spans="1:9" x14ac:dyDescent="0.2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 s="1">
        <f t="shared" si="24"/>
        <v>1199.78</v>
      </c>
      <c r="H801" s="1" t="str">
        <f>_xlfn.XLOOKUP(C801,Product!A:A,Product!B:B,"not found",0)</f>
        <v>Electra Townie Original 7D EQ - 2016</v>
      </c>
      <c r="I801" s="1">
        <f t="shared" si="25"/>
        <v>1199.78</v>
      </c>
    </row>
    <row r="802" spans="1:9" x14ac:dyDescent="0.2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 s="1">
        <f t="shared" si="24"/>
        <v>1099.78</v>
      </c>
      <c r="H802" s="1" t="str">
        <f>_xlfn.XLOOKUP(C802,Product!A:A,Product!B:B,"not found",0)</f>
        <v>Electra Townie Original 21D - 2016</v>
      </c>
      <c r="I802" s="1">
        <f t="shared" si="25"/>
        <v>1099.78</v>
      </c>
    </row>
    <row r="803" spans="1:9" x14ac:dyDescent="0.2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 s="1">
        <f t="shared" si="24"/>
        <v>599.79</v>
      </c>
      <c r="H803" s="1" t="str">
        <f>_xlfn.XLOOKUP(C803,Product!A:A,Product!B:B,"not found",0)</f>
        <v>Electra Townie Original 7D EQ - Women's - 2016</v>
      </c>
      <c r="I803" s="1">
        <f t="shared" si="25"/>
        <v>599.79</v>
      </c>
    </row>
    <row r="804" spans="1:9" x14ac:dyDescent="0.2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 s="1">
        <f t="shared" si="24"/>
        <v>1199.93</v>
      </c>
      <c r="H804" s="1" t="str">
        <f>_xlfn.XLOOKUP(C804,Product!A:A,Product!B:B,"not found",0)</f>
        <v>Electra Townie Original 7D EQ - 2016</v>
      </c>
      <c r="I804" s="1">
        <f t="shared" si="25"/>
        <v>1199.93</v>
      </c>
    </row>
    <row r="805" spans="1:9" x14ac:dyDescent="0.2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 s="1">
        <f t="shared" si="24"/>
        <v>549.94000000000005</v>
      </c>
      <c r="H805" s="1" t="str">
        <f>_xlfn.XLOOKUP(C805,Product!A:A,Product!B:B,"not found",0)</f>
        <v>Electra Townie Original 21D - 2016</v>
      </c>
      <c r="I805" s="1">
        <f t="shared" si="25"/>
        <v>549.94000000000005</v>
      </c>
    </row>
    <row r="806" spans="1:9" x14ac:dyDescent="0.2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 s="1">
        <f t="shared" si="24"/>
        <v>749.89</v>
      </c>
      <c r="H806" s="1" t="str">
        <f>_xlfn.XLOOKUP(C806,Product!A:A,Product!B:B,"not found",0)</f>
        <v>Ritchey Timberwolf Frameset - 2016</v>
      </c>
      <c r="I806" s="1">
        <f t="shared" si="25"/>
        <v>749.89</v>
      </c>
    </row>
    <row r="807" spans="1:9" x14ac:dyDescent="0.2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 s="1">
        <f t="shared" si="24"/>
        <v>1199.78</v>
      </c>
      <c r="H807" s="1" t="str">
        <f>_xlfn.XLOOKUP(C807,Product!A:A,Product!B:B,"not found",0)</f>
        <v>Electra Townie Original 7D EQ - 2016</v>
      </c>
      <c r="I807" s="1">
        <f t="shared" si="25"/>
        <v>1199.78</v>
      </c>
    </row>
    <row r="808" spans="1:9" x14ac:dyDescent="0.2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 s="1">
        <f t="shared" si="24"/>
        <v>539.91</v>
      </c>
      <c r="H808" s="1" t="str">
        <f>_xlfn.XLOOKUP(C808,Product!A:A,Product!B:B,"not found",0)</f>
        <v>Electra Cruiser 1 (24-Inch) - 2016</v>
      </c>
      <c r="I808" s="1">
        <f t="shared" si="25"/>
        <v>539.91</v>
      </c>
    </row>
    <row r="809" spans="1:9" x14ac:dyDescent="0.2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 s="1">
        <f t="shared" si="24"/>
        <v>1199.8800000000001</v>
      </c>
      <c r="H809" s="1" t="str">
        <f>_xlfn.XLOOKUP(C809,Product!A:A,Product!B:B,"not found",0)</f>
        <v>Electra Townie Original 7D EQ - 2016</v>
      </c>
      <c r="I809" s="1">
        <f t="shared" si="25"/>
        <v>1199.8800000000001</v>
      </c>
    </row>
    <row r="810" spans="1:9" x14ac:dyDescent="0.2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 s="1">
        <f t="shared" si="24"/>
        <v>3999.89</v>
      </c>
      <c r="H810" s="1" t="str">
        <f>_xlfn.XLOOKUP(C810,Product!A:A,Product!B:B,"not found",0)</f>
        <v>Trek Slash 8 27.5 - 2016</v>
      </c>
      <c r="I810" s="1">
        <f t="shared" si="25"/>
        <v>3999.89</v>
      </c>
    </row>
    <row r="811" spans="1:9" x14ac:dyDescent="0.2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 s="1">
        <f t="shared" si="24"/>
        <v>1320.79</v>
      </c>
      <c r="H811" s="1" t="str">
        <f>_xlfn.XLOOKUP(C811,Product!A:A,Product!B:B,"not found",0)</f>
        <v>Heller Shagamaw Frame - 2016</v>
      </c>
      <c r="I811" s="1">
        <f t="shared" si="25"/>
        <v>1320.79</v>
      </c>
    </row>
    <row r="812" spans="1:9" x14ac:dyDescent="0.2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 s="1">
        <f t="shared" si="24"/>
        <v>1548.95</v>
      </c>
      <c r="H812" s="1" t="str">
        <f>_xlfn.XLOOKUP(C812,Product!A:A,Product!B:B,"not found",0)</f>
        <v>Surly Straggler - 2016</v>
      </c>
      <c r="I812" s="1">
        <f t="shared" si="25"/>
        <v>1548.95</v>
      </c>
    </row>
    <row r="813" spans="1:9" x14ac:dyDescent="0.2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 s="1">
        <f t="shared" si="24"/>
        <v>749.94</v>
      </c>
      <c r="H813" s="1" t="str">
        <f>_xlfn.XLOOKUP(C813,Product!A:A,Product!B:B,"not found",0)</f>
        <v>Ritchey Timberwolf Frameset - 2016</v>
      </c>
      <c r="I813" s="1">
        <f t="shared" si="25"/>
        <v>749.94</v>
      </c>
    </row>
    <row r="814" spans="1:9" x14ac:dyDescent="0.2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 s="1">
        <f t="shared" si="24"/>
        <v>599.94000000000005</v>
      </c>
      <c r="H814" s="1" t="str">
        <f>_xlfn.XLOOKUP(C814,Product!A:A,Product!B:B,"not found",0)</f>
        <v>Electra Townie Original 7D EQ - Women's - 2016</v>
      </c>
      <c r="I814" s="1">
        <f t="shared" si="25"/>
        <v>599.94000000000005</v>
      </c>
    </row>
    <row r="815" spans="1:9" x14ac:dyDescent="0.2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 s="1">
        <f t="shared" si="24"/>
        <v>2899.79</v>
      </c>
      <c r="H815" s="1" t="str">
        <f>_xlfn.XLOOKUP(C815,Product!A:A,Product!B:B,"not found",0)</f>
        <v>Trek Fuel EX 8 29 - 2016</v>
      </c>
      <c r="I815" s="1">
        <f t="shared" si="25"/>
        <v>2899.79</v>
      </c>
    </row>
    <row r="816" spans="1:9" x14ac:dyDescent="0.2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 s="1">
        <f t="shared" si="24"/>
        <v>1548.9</v>
      </c>
      <c r="H816" s="1" t="str">
        <f>_xlfn.XLOOKUP(C816,Product!A:A,Product!B:B,"not found",0)</f>
        <v>Surly Straggler - 2016</v>
      </c>
      <c r="I816" s="1">
        <f t="shared" si="25"/>
        <v>1548.9</v>
      </c>
    </row>
    <row r="817" spans="1:9" x14ac:dyDescent="0.2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 s="1">
        <f t="shared" si="24"/>
        <v>7999.9299999999994</v>
      </c>
      <c r="H817" s="1" t="str">
        <f>_xlfn.XLOOKUP(C817,Product!A:A,Product!B:B,"not found",0)</f>
        <v>Trek Slash 8 27.5 - 2016</v>
      </c>
      <c r="I817" s="1">
        <f t="shared" si="25"/>
        <v>7999.9299999999994</v>
      </c>
    </row>
    <row r="818" spans="1:9" x14ac:dyDescent="0.2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 s="1">
        <f t="shared" si="24"/>
        <v>269.92</v>
      </c>
      <c r="H818" s="1" t="str">
        <f>_xlfn.XLOOKUP(C818,Product!A:A,Product!B:B,"not found",0)</f>
        <v>Electra Cruiser 1 (24-Inch) - 2016</v>
      </c>
      <c r="I818" s="1">
        <f t="shared" si="25"/>
        <v>269.92</v>
      </c>
    </row>
    <row r="819" spans="1:9" x14ac:dyDescent="0.2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 s="1">
        <f t="shared" si="24"/>
        <v>549.79</v>
      </c>
      <c r="H819" s="1" t="str">
        <f>_xlfn.XLOOKUP(C819,Product!A:A,Product!B:B,"not found",0)</f>
        <v>Electra Townie Original 21D - 2016</v>
      </c>
      <c r="I819" s="1">
        <f t="shared" si="25"/>
        <v>549.79</v>
      </c>
    </row>
    <row r="820" spans="1:9" x14ac:dyDescent="0.2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 s="1">
        <f t="shared" si="24"/>
        <v>428.8</v>
      </c>
      <c r="H820" s="1" t="str">
        <f>_xlfn.XLOOKUP(C820,Product!A:A,Product!B:B,"not found",0)</f>
        <v>Pure Cycles Vine 8-Speed - 2016</v>
      </c>
      <c r="I820" s="1">
        <f t="shared" si="25"/>
        <v>428.8</v>
      </c>
    </row>
    <row r="821" spans="1:9" x14ac:dyDescent="0.2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 s="1">
        <f t="shared" si="24"/>
        <v>1499.91</v>
      </c>
      <c r="H821" s="1" t="str">
        <f>_xlfn.XLOOKUP(C821,Product!A:A,Product!B:B,"not found",0)</f>
        <v>Ritchey Timberwolf Frameset - 2016</v>
      </c>
      <c r="I821" s="1">
        <f t="shared" si="25"/>
        <v>1499.91</v>
      </c>
    </row>
    <row r="822" spans="1:9" x14ac:dyDescent="0.2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 s="1">
        <f t="shared" si="24"/>
        <v>2641.91</v>
      </c>
      <c r="H822" s="1" t="str">
        <f>_xlfn.XLOOKUP(C822,Product!A:A,Product!B:B,"not found",0)</f>
        <v>Heller Shagamaw Frame - 2016</v>
      </c>
      <c r="I822" s="1">
        <f t="shared" si="25"/>
        <v>2641.91</v>
      </c>
    </row>
    <row r="823" spans="1:9" x14ac:dyDescent="0.2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 s="1">
        <f t="shared" si="24"/>
        <v>269.89</v>
      </c>
      <c r="H823" s="1" t="str">
        <f>_xlfn.XLOOKUP(C823,Product!A:A,Product!B:B,"not found",0)</f>
        <v>Electra Cruiser 1 (24-Inch) - 2016</v>
      </c>
      <c r="I823" s="1">
        <f t="shared" si="25"/>
        <v>269.89</v>
      </c>
    </row>
    <row r="824" spans="1:9" x14ac:dyDescent="0.2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 s="1">
        <f t="shared" si="24"/>
        <v>939.93000000000006</v>
      </c>
      <c r="H824" s="1" t="str">
        <f>_xlfn.XLOOKUP(C824,Product!A:A,Product!B:B,"not found",0)</f>
        <v>Surly Ice Cream Truck Frameset - 2016</v>
      </c>
      <c r="I824" s="1">
        <f t="shared" si="25"/>
        <v>939.93000000000006</v>
      </c>
    </row>
    <row r="825" spans="1:9" x14ac:dyDescent="0.2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 s="1">
        <f t="shared" si="24"/>
        <v>539.91</v>
      </c>
      <c r="H825" s="1" t="str">
        <f>_xlfn.XLOOKUP(C825,Product!A:A,Product!B:B,"not found",0)</f>
        <v>Electra Cruiser 1 (24-Inch) - 2016</v>
      </c>
      <c r="I825" s="1">
        <f t="shared" si="25"/>
        <v>539.91</v>
      </c>
    </row>
    <row r="826" spans="1:9" x14ac:dyDescent="0.2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 s="1">
        <f t="shared" si="24"/>
        <v>897.9</v>
      </c>
      <c r="H826" s="1" t="str">
        <f>_xlfn.XLOOKUP(C826,Product!A:A,Product!B:B,"not found",0)</f>
        <v>Pure Cycles Western 3-Speed - Women's - 2015/2016</v>
      </c>
      <c r="I826" s="1">
        <f t="shared" si="25"/>
        <v>897.9</v>
      </c>
    </row>
    <row r="827" spans="1:9" x14ac:dyDescent="0.2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 s="1">
        <f t="shared" si="24"/>
        <v>2899.9199999999996</v>
      </c>
      <c r="H827" s="1" t="str">
        <f>_xlfn.XLOOKUP(C827,Product!A:A,Product!B:B,"not found",0)</f>
        <v>Trek Fuel EX 8 29 - 2016</v>
      </c>
      <c r="I827" s="1">
        <f t="shared" si="25"/>
        <v>2899.9199999999996</v>
      </c>
    </row>
    <row r="828" spans="1:9" x14ac:dyDescent="0.2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 s="1">
        <f t="shared" si="24"/>
        <v>3097.95</v>
      </c>
      <c r="H828" s="1" t="str">
        <f>_xlfn.XLOOKUP(C828,Product!A:A,Product!B:B,"not found",0)</f>
        <v>Surly Straggler - 2016</v>
      </c>
      <c r="I828" s="1">
        <f t="shared" si="25"/>
        <v>3097.95</v>
      </c>
    </row>
    <row r="829" spans="1:9" x14ac:dyDescent="0.2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 s="1">
        <f t="shared" si="24"/>
        <v>897.95</v>
      </c>
      <c r="H829" s="1" t="str">
        <f>_xlfn.XLOOKUP(C829,Product!A:A,Product!B:B,"not found",0)</f>
        <v>Pure Cycles William 3-Speed - 2016</v>
      </c>
      <c r="I829" s="1">
        <f t="shared" si="25"/>
        <v>897.95</v>
      </c>
    </row>
    <row r="830" spans="1:9" x14ac:dyDescent="0.2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 s="1">
        <f t="shared" si="24"/>
        <v>469.79</v>
      </c>
      <c r="H830" s="1" t="str">
        <f>_xlfn.XLOOKUP(C830,Product!A:A,Product!B:B,"not found",0)</f>
        <v>Surly Ice Cream Truck Frameset - 2016</v>
      </c>
      <c r="I830" s="1">
        <f t="shared" si="25"/>
        <v>469.79</v>
      </c>
    </row>
    <row r="831" spans="1:9" x14ac:dyDescent="0.2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 s="1">
        <f t="shared" si="24"/>
        <v>448.8</v>
      </c>
      <c r="H831" s="1" t="str">
        <f>_xlfn.XLOOKUP(C831,Product!A:A,Product!B:B,"not found",0)</f>
        <v>Pure Cycles Western 3-Speed - Women's - 2015/2016</v>
      </c>
      <c r="I831" s="1">
        <f t="shared" si="25"/>
        <v>448.8</v>
      </c>
    </row>
    <row r="832" spans="1:9" x14ac:dyDescent="0.2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 s="1">
        <f t="shared" si="24"/>
        <v>269.79000000000002</v>
      </c>
      <c r="H832" s="1" t="str">
        <f>_xlfn.XLOOKUP(C832,Product!A:A,Product!B:B,"not found",0)</f>
        <v>Electra Girl's Hawaii 1 (16-inch) - 2015/2016</v>
      </c>
      <c r="I832" s="1">
        <f t="shared" si="25"/>
        <v>269.79000000000002</v>
      </c>
    </row>
    <row r="833" spans="1:9" x14ac:dyDescent="0.2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 s="1">
        <f t="shared" si="24"/>
        <v>7999.9299999999994</v>
      </c>
      <c r="H833" s="1" t="str">
        <f>_xlfn.XLOOKUP(C833,Product!A:A,Product!B:B,"not found",0)</f>
        <v>Trek Slash 8 27.5 - 2016</v>
      </c>
      <c r="I833" s="1">
        <f t="shared" si="25"/>
        <v>7999.9299999999994</v>
      </c>
    </row>
    <row r="834" spans="1:9" x14ac:dyDescent="0.2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 s="1">
        <f t="shared" si="24"/>
        <v>999.78</v>
      </c>
      <c r="H834" s="1" t="str">
        <f>_xlfn.XLOOKUP(C834,Product!A:A,Product!B:B,"not found",0)</f>
        <v>Electra Townie Original 7D - 2015/2016</v>
      </c>
      <c r="I834" s="1">
        <f t="shared" si="25"/>
        <v>999.78</v>
      </c>
    </row>
    <row r="835" spans="1:9" x14ac:dyDescent="0.2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 s="1">
        <f t="shared" ref="G835:G898" si="26">(E835*D835)-F835</f>
        <v>539.91</v>
      </c>
      <c r="H835" s="1" t="str">
        <f>_xlfn.XLOOKUP(C835,Product!A:A,Product!B:B,"not found",0)</f>
        <v>Electra Girl's Hawaii 1 (16-inch) - 2015/2016</v>
      </c>
      <c r="I835" s="1">
        <f t="shared" ref="I835:I898" si="27">(D835*E835)-F835</f>
        <v>539.91</v>
      </c>
    </row>
    <row r="836" spans="1:9" x14ac:dyDescent="0.2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 s="1">
        <f t="shared" si="26"/>
        <v>999.91</v>
      </c>
      <c r="H836" s="1" t="str">
        <f>_xlfn.XLOOKUP(C836,Product!A:A,Product!B:B,"not found",0)</f>
        <v>Electra Townie Original 7D - 2015/2016</v>
      </c>
      <c r="I836" s="1">
        <f t="shared" si="27"/>
        <v>999.91</v>
      </c>
    </row>
    <row r="837" spans="1:9" x14ac:dyDescent="0.2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 s="1">
        <f t="shared" si="26"/>
        <v>1099.8800000000001</v>
      </c>
      <c r="H837" s="1" t="str">
        <f>_xlfn.XLOOKUP(C837,Product!A:A,Product!B:B,"not found",0)</f>
        <v>Electra Townie Original 21D - 2016</v>
      </c>
      <c r="I837" s="1">
        <f t="shared" si="27"/>
        <v>1099.8800000000001</v>
      </c>
    </row>
    <row r="838" spans="1:9" x14ac:dyDescent="0.2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 s="1">
        <f t="shared" si="26"/>
        <v>3361.88</v>
      </c>
      <c r="H838" s="1" t="str">
        <f>_xlfn.XLOOKUP(C838,Product!A:A,Product!B:B,"not found",0)</f>
        <v>Surly Straggler 650b - 2016</v>
      </c>
      <c r="I838" s="1">
        <f t="shared" si="27"/>
        <v>3361.88</v>
      </c>
    </row>
    <row r="839" spans="1:9" x14ac:dyDescent="0.2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 s="1">
        <f t="shared" si="26"/>
        <v>2999.79</v>
      </c>
      <c r="H839" s="1" t="str">
        <f>_xlfn.XLOOKUP(C839,Product!A:A,Product!B:B,"not found",0)</f>
        <v>Trek Conduit+ - 2016</v>
      </c>
      <c r="I839" s="1">
        <f t="shared" si="27"/>
        <v>2999.79</v>
      </c>
    </row>
    <row r="840" spans="1:9" x14ac:dyDescent="0.2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 s="1">
        <f t="shared" si="26"/>
        <v>5799.78</v>
      </c>
      <c r="H840" s="1" t="str">
        <f>_xlfn.XLOOKUP(C840,Product!A:A,Product!B:B,"not found",0)</f>
        <v>Trek Fuel EX 8 29 - 2016</v>
      </c>
      <c r="I840" s="1">
        <f t="shared" si="27"/>
        <v>5799.78</v>
      </c>
    </row>
    <row r="841" spans="1:9" x14ac:dyDescent="0.2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 s="1">
        <f t="shared" si="26"/>
        <v>299.79000000000002</v>
      </c>
      <c r="H841" s="1" t="str">
        <f>_xlfn.XLOOKUP(C841,Product!A:A,Product!B:B,"not found",0)</f>
        <v>Electra Girl's Hawaii 1 (20-inch) - 2015/2016</v>
      </c>
      <c r="I841" s="1">
        <f t="shared" si="27"/>
        <v>299.79000000000002</v>
      </c>
    </row>
    <row r="842" spans="1:9" x14ac:dyDescent="0.2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 s="1">
        <f t="shared" si="26"/>
        <v>939.93000000000006</v>
      </c>
      <c r="H842" s="1" t="str">
        <f>_xlfn.XLOOKUP(C842,Product!A:A,Product!B:B,"not found",0)</f>
        <v>Surly Ice Cream Truck Frameset - 2016</v>
      </c>
      <c r="I842" s="1">
        <f t="shared" si="27"/>
        <v>939.93000000000006</v>
      </c>
    </row>
    <row r="843" spans="1:9" x14ac:dyDescent="0.2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 s="1">
        <f t="shared" si="26"/>
        <v>269.79000000000002</v>
      </c>
      <c r="H843" s="1" t="str">
        <f>_xlfn.XLOOKUP(C843,Product!A:A,Product!B:B,"not found",0)</f>
        <v>Electra Girl's Hawaii 1 (16-inch) - 2015/2016</v>
      </c>
      <c r="I843" s="1">
        <f t="shared" si="27"/>
        <v>269.79000000000002</v>
      </c>
    </row>
    <row r="844" spans="1:9" x14ac:dyDescent="0.2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 s="1">
        <f t="shared" si="26"/>
        <v>2999.9199999999996</v>
      </c>
      <c r="H844" s="1" t="str">
        <f>_xlfn.XLOOKUP(C844,Product!A:A,Product!B:B,"not found",0)</f>
        <v>Trek Conduit+ - 2016</v>
      </c>
      <c r="I844" s="1">
        <f t="shared" si="27"/>
        <v>2999.9199999999996</v>
      </c>
    </row>
    <row r="845" spans="1:9" x14ac:dyDescent="0.2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 s="1">
        <f t="shared" si="26"/>
        <v>539.88</v>
      </c>
      <c r="H845" s="1" t="str">
        <f>_xlfn.XLOOKUP(C845,Product!A:A,Product!B:B,"not found",0)</f>
        <v>Electra Girl's Hawaii 1 (16-inch) - 2015/2016</v>
      </c>
      <c r="I845" s="1">
        <f t="shared" si="27"/>
        <v>539.88</v>
      </c>
    </row>
    <row r="846" spans="1:9" x14ac:dyDescent="0.2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 s="1">
        <f t="shared" si="26"/>
        <v>3361.93</v>
      </c>
      <c r="H846" s="1" t="str">
        <f>_xlfn.XLOOKUP(C846,Product!A:A,Product!B:B,"not found",0)</f>
        <v>Surly Straggler 650b - 2016</v>
      </c>
      <c r="I846" s="1">
        <f t="shared" si="27"/>
        <v>3361.93</v>
      </c>
    </row>
    <row r="847" spans="1:9" x14ac:dyDescent="0.2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 s="1">
        <f t="shared" si="26"/>
        <v>3097.8</v>
      </c>
      <c r="H847" s="1" t="str">
        <f>_xlfn.XLOOKUP(C847,Product!A:A,Product!B:B,"not found",0)</f>
        <v>Surly Straggler - 2016</v>
      </c>
      <c r="I847" s="1">
        <f t="shared" si="27"/>
        <v>3097.8</v>
      </c>
    </row>
    <row r="848" spans="1:9" x14ac:dyDescent="0.2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 s="1">
        <f t="shared" si="26"/>
        <v>1199.8800000000001</v>
      </c>
      <c r="H848" s="1" t="str">
        <f>_xlfn.XLOOKUP(C848,Product!A:A,Product!B:B,"not found",0)</f>
        <v>Electra Townie Original 7D EQ - 2016</v>
      </c>
      <c r="I848" s="1">
        <f t="shared" si="27"/>
        <v>1199.8800000000001</v>
      </c>
    </row>
    <row r="849" spans="1:9" x14ac:dyDescent="0.2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 s="1">
        <f t="shared" si="26"/>
        <v>5999.8799999999992</v>
      </c>
      <c r="H849" s="1" t="str">
        <f>_xlfn.XLOOKUP(C849,Product!A:A,Product!B:B,"not found",0)</f>
        <v>Trek Conduit+ - 2016</v>
      </c>
      <c r="I849" s="1">
        <f t="shared" si="27"/>
        <v>5999.8799999999992</v>
      </c>
    </row>
    <row r="850" spans="1:9" x14ac:dyDescent="0.2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 s="1">
        <f t="shared" si="26"/>
        <v>1548.9</v>
      </c>
      <c r="H850" s="1" t="str">
        <f>_xlfn.XLOOKUP(C850,Product!A:A,Product!B:B,"not found",0)</f>
        <v>Surly Straggler - 2016</v>
      </c>
      <c r="I850" s="1">
        <f t="shared" si="27"/>
        <v>1548.9</v>
      </c>
    </row>
    <row r="851" spans="1:9" x14ac:dyDescent="0.2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 s="1">
        <f t="shared" si="26"/>
        <v>3361.78</v>
      </c>
      <c r="H851" s="1" t="str">
        <f>_xlfn.XLOOKUP(C851,Product!A:A,Product!B:B,"not found",0)</f>
        <v>Surly Straggler 650b - 2016</v>
      </c>
      <c r="I851" s="1">
        <f t="shared" si="27"/>
        <v>3361.78</v>
      </c>
    </row>
    <row r="852" spans="1:9" x14ac:dyDescent="0.2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 s="1">
        <f t="shared" si="26"/>
        <v>469.94</v>
      </c>
      <c r="H852" s="1" t="str">
        <f>_xlfn.XLOOKUP(C852,Product!A:A,Product!B:B,"not found",0)</f>
        <v>Surly Ice Cream Truck Frameset - 2016</v>
      </c>
      <c r="I852" s="1">
        <f t="shared" si="27"/>
        <v>469.94</v>
      </c>
    </row>
    <row r="853" spans="1:9" x14ac:dyDescent="0.2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 s="1">
        <f t="shared" si="26"/>
        <v>269.89</v>
      </c>
      <c r="H853" s="1" t="str">
        <f>_xlfn.XLOOKUP(C853,Product!A:A,Product!B:B,"not found",0)</f>
        <v>Electra Girl's Hawaii 1 (16-inch) - 2015/2016</v>
      </c>
      <c r="I853" s="1">
        <f t="shared" si="27"/>
        <v>269.89</v>
      </c>
    </row>
    <row r="854" spans="1:9" x14ac:dyDescent="0.2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 s="1">
        <f t="shared" si="26"/>
        <v>1099.78</v>
      </c>
      <c r="H854" s="1" t="str">
        <f>_xlfn.XLOOKUP(C854,Product!A:A,Product!B:B,"not found",0)</f>
        <v>Electra Townie Original 21D - 2016</v>
      </c>
      <c r="I854" s="1">
        <f t="shared" si="27"/>
        <v>1099.78</v>
      </c>
    </row>
    <row r="855" spans="1:9" x14ac:dyDescent="0.2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 s="1">
        <f t="shared" si="26"/>
        <v>897.93</v>
      </c>
      <c r="H855" s="1" t="str">
        <f>_xlfn.XLOOKUP(C855,Product!A:A,Product!B:B,"not found",0)</f>
        <v>Pure Cycles Western 3-Speed - Women's - 2015/2016</v>
      </c>
      <c r="I855" s="1">
        <f t="shared" si="27"/>
        <v>897.93</v>
      </c>
    </row>
    <row r="856" spans="1:9" x14ac:dyDescent="0.2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 s="1">
        <f t="shared" si="26"/>
        <v>1499.78</v>
      </c>
      <c r="H856" s="1" t="str">
        <f>_xlfn.XLOOKUP(C856,Product!A:A,Product!B:B,"not found",0)</f>
        <v>Ritchey Timberwolf Frameset - 2016</v>
      </c>
      <c r="I856" s="1">
        <f t="shared" si="27"/>
        <v>1499.78</v>
      </c>
    </row>
    <row r="857" spans="1:9" x14ac:dyDescent="0.2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 s="1">
        <f t="shared" si="26"/>
        <v>3599.93</v>
      </c>
      <c r="H857" s="1" t="str">
        <f>_xlfn.XLOOKUP(C857,Product!A:A,Product!B:B,"not found",0)</f>
        <v>Trek Remedy 29 Carbon Frameset - 2016</v>
      </c>
      <c r="I857" s="1">
        <f t="shared" si="27"/>
        <v>3599.93</v>
      </c>
    </row>
    <row r="858" spans="1:9" x14ac:dyDescent="0.2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 s="1">
        <f t="shared" si="26"/>
        <v>1099.93</v>
      </c>
      <c r="H858" s="1" t="str">
        <f>_xlfn.XLOOKUP(C858,Product!A:A,Product!B:B,"not found",0)</f>
        <v>Electra Townie Original 21D - 2016</v>
      </c>
      <c r="I858" s="1">
        <f t="shared" si="27"/>
        <v>1099.93</v>
      </c>
    </row>
    <row r="859" spans="1:9" x14ac:dyDescent="0.2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 s="1">
        <f t="shared" si="26"/>
        <v>1548.95</v>
      </c>
      <c r="H859" s="1" t="str">
        <f>_xlfn.XLOOKUP(C859,Product!A:A,Product!B:B,"not found",0)</f>
        <v>Surly Straggler - 2016</v>
      </c>
      <c r="I859" s="1">
        <f t="shared" si="27"/>
        <v>1548.95</v>
      </c>
    </row>
    <row r="860" spans="1:9" x14ac:dyDescent="0.2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 s="1">
        <f t="shared" si="26"/>
        <v>7999.8799999999992</v>
      </c>
      <c r="H860" s="1" t="str">
        <f>_xlfn.XLOOKUP(C860,Product!A:A,Product!B:B,"not found",0)</f>
        <v>Trek Slash 8 27.5 - 2016</v>
      </c>
      <c r="I860" s="1">
        <f t="shared" si="27"/>
        <v>7999.8799999999992</v>
      </c>
    </row>
    <row r="861" spans="1:9" x14ac:dyDescent="0.2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 s="1">
        <f t="shared" si="26"/>
        <v>599.89</v>
      </c>
      <c r="H861" s="1" t="str">
        <f>_xlfn.XLOOKUP(C861,Product!A:A,Product!B:B,"not found",0)</f>
        <v>Electra Townie Original 7D EQ - Women's - 2016</v>
      </c>
      <c r="I861" s="1">
        <f t="shared" si="27"/>
        <v>599.89</v>
      </c>
    </row>
    <row r="862" spans="1:9" x14ac:dyDescent="0.2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 s="1">
        <f t="shared" si="26"/>
        <v>1548.93</v>
      </c>
      <c r="H862" s="1" t="str">
        <f>_xlfn.XLOOKUP(C862,Product!A:A,Product!B:B,"not found",0)</f>
        <v>Surly Straggler - 2016</v>
      </c>
      <c r="I862" s="1">
        <f t="shared" si="27"/>
        <v>1548.93</v>
      </c>
    </row>
    <row r="863" spans="1:9" x14ac:dyDescent="0.2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 s="1">
        <f t="shared" si="26"/>
        <v>469.89</v>
      </c>
      <c r="H863" s="1" t="str">
        <f>_xlfn.XLOOKUP(C863,Product!A:A,Product!B:B,"not found",0)</f>
        <v>Surly Ice Cream Truck Frameset - 2016</v>
      </c>
      <c r="I863" s="1">
        <f t="shared" si="27"/>
        <v>469.89</v>
      </c>
    </row>
    <row r="864" spans="1:9" x14ac:dyDescent="0.2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 s="1">
        <f t="shared" si="26"/>
        <v>1999.78</v>
      </c>
      <c r="H864" s="1" t="str">
        <f>_xlfn.XLOOKUP(C864,Product!A:A,Product!B:B,"not found",0)</f>
        <v>Surly Wednesday Frameset - 2016</v>
      </c>
      <c r="I864" s="1">
        <f t="shared" si="27"/>
        <v>1999.78</v>
      </c>
    </row>
    <row r="865" spans="1:9" x14ac:dyDescent="0.2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 s="1">
        <f t="shared" si="26"/>
        <v>1548.8</v>
      </c>
      <c r="H865" s="1" t="str">
        <f>_xlfn.XLOOKUP(C865,Product!A:A,Product!B:B,"not found",0)</f>
        <v>Surly Straggler - 2016</v>
      </c>
      <c r="I865" s="1">
        <f t="shared" si="27"/>
        <v>1548.8</v>
      </c>
    </row>
    <row r="866" spans="1:9" x14ac:dyDescent="0.2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 s="1">
        <f t="shared" si="26"/>
        <v>269.92</v>
      </c>
      <c r="H866" s="1" t="str">
        <f>_xlfn.XLOOKUP(C866,Product!A:A,Product!B:B,"not found",0)</f>
        <v>Electra Girl's Hawaii 1 (16-inch) - 2015/2016</v>
      </c>
      <c r="I866" s="1">
        <f t="shared" si="27"/>
        <v>269.92</v>
      </c>
    </row>
    <row r="867" spans="1:9" x14ac:dyDescent="0.2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 s="1">
        <f t="shared" si="26"/>
        <v>1059.93</v>
      </c>
      <c r="H867" s="1" t="str">
        <f>_xlfn.XLOOKUP(C867,Product!A:A,Product!B:B,"not found",0)</f>
        <v>Electra Moto 1 - 2016</v>
      </c>
      <c r="I867" s="1">
        <f t="shared" si="27"/>
        <v>1059.93</v>
      </c>
    </row>
    <row r="868" spans="1:9" x14ac:dyDescent="0.2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 s="1">
        <f t="shared" si="26"/>
        <v>3999.89</v>
      </c>
      <c r="H868" s="1" t="str">
        <f>_xlfn.XLOOKUP(C868,Product!A:A,Product!B:B,"not found",0)</f>
        <v>Trek Slash 8 27.5 - 2016</v>
      </c>
      <c r="I868" s="1">
        <f t="shared" si="27"/>
        <v>3999.89</v>
      </c>
    </row>
    <row r="869" spans="1:9" x14ac:dyDescent="0.2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 s="1">
        <f t="shared" si="26"/>
        <v>897.8</v>
      </c>
      <c r="H869" s="1" t="str">
        <f>_xlfn.XLOOKUP(C869,Product!A:A,Product!B:B,"not found",0)</f>
        <v>Pure Cycles Western 3-Speed - Women's - 2015/2016</v>
      </c>
      <c r="I869" s="1">
        <f t="shared" si="27"/>
        <v>897.8</v>
      </c>
    </row>
    <row r="870" spans="1:9" x14ac:dyDescent="0.2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 s="1">
        <f t="shared" si="26"/>
        <v>269.79000000000002</v>
      </c>
      <c r="H870" s="1" t="str">
        <f>_xlfn.XLOOKUP(C870,Product!A:A,Product!B:B,"not found",0)</f>
        <v>Electra Girl's Hawaii 1 (16-inch) - 2015/2016</v>
      </c>
      <c r="I870" s="1">
        <f t="shared" si="27"/>
        <v>269.79000000000002</v>
      </c>
    </row>
    <row r="871" spans="1:9" x14ac:dyDescent="0.2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 s="1">
        <f t="shared" si="26"/>
        <v>999.94</v>
      </c>
      <c r="H871" s="1" t="str">
        <f>_xlfn.XLOOKUP(C871,Product!A:A,Product!B:B,"not found",0)</f>
        <v>Surly Wednesday Frameset - 2016</v>
      </c>
      <c r="I871" s="1">
        <f t="shared" si="27"/>
        <v>999.94</v>
      </c>
    </row>
    <row r="872" spans="1:9" x14ac:dyDescent="0.2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 s="1">
        <f t="shared" si="26"/>
        <v>549.94000000000005</v>
      </c>
      <c r="H872" s="1" t="str">
        <f>_xlfn.XLOOKUP(C872,Product!A:A,Product!B:B,"not found",0)</f>
        <v>Electra Townie Original 21D - 2016</v>
      </c>
      <c r="I872" s="1">
        <f t="shared" si="27"/>
        <v>549.94000000000005</v>
      </c>
    </row>
    <row r="873" spans="1:9" x14ac:dyDescent="0.2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 s="1">
        <f t="shared" si="26"/>
        <v>7999.91</v>
      </c>
      <c r="H873" s="1" t="str">
        <f>_xlfn.XLOOKUP(C873,Product!A:A,Product!B:B,"not found",0)</f>
        <v>Trek Slash 8 27.5 - 2016</v>
      </c>
      <c r="I873" s="1">
        <f t="shared" si="27"/>
        <v>7999.91</v>
      </c>
    </row>
    <row r="874" spans="1:9" x14ac:dyDescent="0.2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 s="1">
        <f t="shared" si="26"/>
        <v>539.88</v>
      </c>
      <c r="H874" s="1" t="str">
        <f>_xlfn.XLOOKUP(C874,Product!A:A,Product!B:B,"not found",0)</f>
        <v>Electra Girl's Hawaii 1 (16-inch) - 2015/2016</v>
      </c>
      <c r="I874" s="1">
        <f t="shared" si="27"/>
        <v>539.88</v>
      </c>
    </row>
    <row r="875" spans="1:9" x14ac:dyDescent="0.2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 s="1">
        <f t="shared" si="26"/>
        <v>2641.78</v>
      </c>
      <c r="H875" s="1" t="str">
        <f>_xlfn.XLOOKUP(C875,Product!A:A,Product!B:B,"not found",0)</f>
        <v>Heller Shagamaw Frame - 2016</v>
      </c>
      <c r="I875" s="1">
        <f t="shared" si="27"/>
        <v>2641.78</v>
      </c>
    </row>
    <row r="876" spans="1:9" x14ac:dyDescent="0.2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 s="1">
        <f t="shared" si="26"/>
        <v>1799.79</v>
      </c>
      <c r="H876" s="1" t="str">
        <f>_xlfn.XLOOKUP(C876,Product!A:A,Product!B:B,"not found",0)</f>
        <v>Trek Remedy 29 Carbon Frameset - 2016</v>
      </c>
      <c r="I876" s="1">
        <f t="shared" si="27"/>
        <v>1799.79</v>
      </c>
    </row>
    <row r="877" spans="1:9" x14ac:dyDescent="0.2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 s="1">
        <f t="shared" si="26"/>
        <v>857.95</v>
      </c>
      <c r="H877" s="1" t="str">
        <f>_xlfn.XLOOKUP(C877,Product!A:A,Product!B:B,"not found",0)</f>
        <v>Pure Cycles Vine 8-Speed - 2016</v>
      </c>
      <c r="I877" s="1">
        <f t="shared" si="27"/>
        <v>857.95</v>
      </c>
    </row>
    <row r="878" spans="1:9" x14ac:dyDescent="0.2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 s="1">
        <f t="shared" si="26"/>
        <v>2641.78</v>
      </c>
      <c r="H878" s="1" t="str">
        <f>_xlfn.XLOOKUP(C878,Product!A:A,Product!B:B,"not found",0)</f>
        <v>Heller Shagamaw Frame - 2016</v>
      </c>
      <c r="I878" s="1">
        <f t="shared" si="27"/>
        <v>2641.78</v>
      </c>
    </row>
    <row r="879" spans="1:9" x14ac:dyDescent="0.2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 s="1">
        <f t="shared" si="26"/>
        <v>1099.93</v>
      </c>
      <c r="H879" s="1" t="str">
        <f>_xlfn.XLOOKUP(C879,Product!A:A,Product!B:B,"not found",0)</f>
        <v>Electra Townie Original 21D - 2016</v>
      </c>
      <c r="I879" s="1">
        <f t="shared" si="27"/>
        <v>1099.93</v>
      </c>
    </row>
    <row r="880" spans="1:9" x14ac:dyDescent="0.2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 s="1">
        <f t="shared" si="26"/>
        <v>539.91</v>
      </c>
      <c r="H880" s="1" t="str">
        <f>_xlfn.XLOOKUP(C880,Product!A:A,Product!B:B,"not found",0)</f>
        <v>Electra Girl's Hawaii 1 (16-inch) - 2015/2016</v>
      </c>
      <c r="I880" s="1">
        <f t="shared" si="27"/>
        <v>539.91</v>
      </c>
    </row>
    <row r="881" spans="1:9" x14ac:dyDescent="0.2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 s="1">
        <f t="shared" si="26"/>
        <v>1199.93</v>
      </c>
      <c r="H881" s="1" t="str">
        <f>_xlfn.XLOOKUP(C881,Product!A:A,Product!B:B,"not found",0)</f>
        <v>Electra Townie Original 7D EQ - 2016</v>
      </c>
      <c r="I881" s="1">
        <f t="shared" si="27"/>
        <v>1199.93</v>
      </c>
    </row>
    <row r="882" spans="1:9" x14ac:dyDescent="0.2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 s="1">
        <f t="shared" si="26"/>
        <v>2899.9199999999996</v>
      </c>
      <c r="H882" s="1" t="str">
        <f>_xlfn.XLOOKUP(C882,Product!A:A,Product!B:B,"not found",0)</f>
        <v>Trek Fuel EX 8 29 - 2016</v>
      </c>
      <c r="I882" s="1">
        <f t="shared" si="27"/>
        <v>2899.9199999999996</v>
      </c>
    </row>
    <row r="883" spans="1:9" x14ac:dyDescent="0.2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 s="1">
        <f t="shared" si="26"/>
        <v>3097.93</v>
      </c>
      <c r="H883" s="1" t="str">
        <f>_xlfn.XLOOKUP(C883,Product!A:A,Product!B:B,"not found",0)</f>
        <v>Surly Straggler - 2016</v>
      </c>
      <c r="I883" s="1">
        <f t="shared" si="27"/>
        <v>3097.93</v>
      </c>
    </row>
    <row r="884" spans="1:9" x14ac:dyDescent="0.2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 s="1">
        <f t="shared" si="26"/>
        <v>1320.92</v>
      </c>
      <c r="H884" s="1" t="str">
        <f>_xlfn.XLOOKUP(C884,Product!A:A,Product!B:B,"not found",0)</f>
        <v>Heller Shagamaw Frame - 2016</v>
      </c>
      <c r="I884" s="1">
        <f t="shared" si="27"/>
        <v>1320.92</v>
      </c>
    </row>
    <row r="885" spans="1:9" x14ac:dyDescent="0.2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 s="1">
        <f t="shared" si="26"/>
        <v>2999.9399999999996</v>
      </c>
      <c r="H885" s="1" t="str">
        <f>_xlfn.XLOOKUP(C885,Product!A:A,Product!B:B,"not found",0)</f>
        <v>Trek Conduit+ - 2016</v>
      </c>
      <c r="I885" s="1">
        <f t="shared" si="27"/>
        <v>2999.9399999999996</v>
      </c>
    </row>
    <row r="886" spans="1:9" x14ac:dyDescent="0.2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 s="1">
        <f t="shared" si="26"/>
        <v>539.78</v>
      </c>
      <c r="H886" s="1" t="str">
        <f>_xlfn.XLOOKUP(C886,Product!A:A,Product!B:B,"not found",0)</f>
        <v>Electra Girl's Hawaii 1 (16-inch) - 2015/2016</v>
      </c>
      <c r="I886" s="1">
        <f t="shared" si="27"/>
        <v>539.78</v>
      </c>
    </row>
    <row r="887" spans="1:9" x14ac:dyDescent="0.2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 s="1">
        <f t="shared" si="26"/>
        <v>7999.91</v>
      </c>
      <c r="H887" s="1" t="str">
        <f>_xlfn.XLOOKUP(C887,Product!A:A,Product!B:B,"not found",0)</f>
        <v>Trek Slash 8 27.5 - 2016</v>
      </c>
      <c r="I887" s="1">
        <f t="shared" si="27"/>
        <v>7999.91</v>
      </c>
    </row>
    <row r="888" spans="1:9" x14ac:dyDescent="0.2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 s="1">
        <f t="shared" si="26"/>
        <v>1680.79</v>
      </c>
      <c r="H888" s="1" t="str">
        <f>_xlfn.XLOOKUP(C888,Product!A:A,Product!B:B,"not found",0)</f>
        <v>Surly Straggler 650b - 2016</v>
      </c>
      <c r="I888" s="1">
        <f t="shared" si="27"/>
        <v>1680.79</v>
      </c>
    </row>
    <row r="889" spans="1:9" x14ac:dyDescent="0.2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 s="1">
        <f t="shared" si="26"/>
        <v>2999.89</v>
      </c>
      <c r="H889" s="1" t="str">
        <f>_xlfn.XLOOKUP(C889,Product!A:A,Product!B:B,"not found",0)</f>
        <v>Trek Conduit+ - 2016</v>
      </c>
      <c r="I889" s="1">
        <f t="shared" si="27"/>
        <v>2999.89</v>
      </c>
    </row>
    <row r="890" spans="1:9" x14ac:dyDescent="0.2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 s="1">
        <f t="shared" si="26"/>
        <v>1499.78</v>
      </c>
      <c r="H890" s="1" t="str">
        <f>_xlfn.XLOOKUP(C890,Product!A:A,Product!B:B,"not found",0)</f>
        <v>Ritchey Timberwolf Frameset - 2016</v>
      </c>
      <c r="I890" s="1">
        <f t="shared" si="27"/>
        <v>1499.78</v>
      </c>
    </row>
    <row r="891" spans="1:9" x14ac:dyDescent="0.2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 s="1">
        <f t="shared" si="26"/>
        <v>1199.8800000000001</v>
      </c>
      <c r="H891" s="1" t="str">
        <f>_xlfn.XLOOKUP(C891,Product!A:A,Product!B:B,"not found",0)</f>
        <v>Electra Townie Original 7D EQ - 2016</v>
      </c>
      <c r="I891" s="1">
        <f t="shared" si="27"/>
        <v>1199.8800000000001</v>
      </c>
    </row>
    <row r="892" spans="1:9" x14ac:dyDescent="0.2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 s="1">
        <f t="shared" si="26"/>
        <v>599.89</v>
      </c>
      <c r="H892" s="1" t="str">
        <f>_xlfn.XLOOKUP(C892,Product!A:A,Product!B:B,"not found",0)</f>
        <v>Electra Townie Original 7D EQ - Women's - 2016</v>
      </c>
      <c r="I892" s="1">
        <f t="shared" si="27"/>
        <v>599.89</v>
      </c>
    </row>
    <row r="893" spans="1:9" x14ac:dyDescent="0.2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 s="1">
        <f t="shared" si="26"/>
        <v>448.8</v>
      </c>
      <c r="H893" s="1" t="str">
        <f>_xlfn.XLOOKUP(C893,Product!A:A,Product!B:B,"not found",0)</f>
        <v>Pure Cycles William 3-Speed - 2016</v>
      </c>
      <c r="I893" s="1">
        <f t="shared" si="27"/>
        <v>448.8</v>
      </c>
    </row>
    <row r="894" spans="1:9" x14ac:dyDescent="0.2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 s="1">
        <f t="shared" si="26"/>
        <v>428.95</v>
      </c>
      <c r="H894" s="1" t="str">
        <f>_xlfn.XLOOKUP(C894,Product!A:A,Product!B:B,"not found",0)</f>
        <v>Pure Cycles Vine 8-Speed - 2016</v>
      </c>
      <c r="I894" s="1">
        <f t="shared" si="27"/>
        <v>428.95</v>
      </c>
    </row>
    <row r="895" spans="1:9" x14ac:dyDescent="0.2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 s="1">
        <f t="shared" si="26"/>
        <v>1548.8</v>
      </c>
      <c r="H895" s="1" t="str">
        <f>_xlfn.XLOOKUP(C895,Product!A:A,Product!B:B,"not found",0)</f>
        <v>Surly Straggler - 2016</v>
      </c>
      <c r="I895" s="1">
        <f t="shared" si="27"/>
        <v>1548.8</v>
      </c>
    </row>
    <row r="896" spans="1:9" x14ac:dyDescent="0.2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 s="1">
        <f t="shared" si="26"/>
        <v>269.94</v>
      </c>
      <c r="H896" s="1" t="str">
        <f>_xlfn.XLOOKUP(C896,Product!A:A,Product!B:B,"not found",0)</f>
        <v>Electra Girl's Hawaii 1 (16-inch) - 2015/2016</v>
      </c>
      <c r="I896" s="1">
        <f t="shared" si="27"/>
        <v>269.94</v>
      </c>
    </row>
    <row r="897" spans="1:9" x14ac:dyDescent="0.2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 s="1">
        <f t="shared" si="26"/>
        <v>529.94000000000005</v>
      </c>
      <c r="H897" s="1" t="str">
        <f>_xlfn.XLOOKUP(C897,Product!A:A,Product!B:B,"not found",0)</f>
        <v>Electra Moto 1 - 2016</v>
      </c>
      <c r="I897" s="1">
        <f t="shared" si="27"/>
        <v>529.94000000000005</v>
      </c>
    </row>
    <row r="898" spans="1:9" x14ac:dyDescent="0.2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 s="1">
        <f t="shared" si="26"/>
        <v>539.78</v>
      </c>
      <c r="H898" s="1" t="str">
        <f>_xlfn.XLOOKUP(C898,Product!A:A,Product!B:B,"not found",0)</f>
        <v>Electra Cruiser 1 (24-Inch) - 2016</v>
      </c>
      <c r="I898" s="1">
        <f t="shared" si="27"/>
        <v>539.78</v>
      </c>
    </row>
    <row r="899" spans="1:9" x14ac:dyDescent="0.2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 s="1">
        <f t="shared" ref="G899:G962" si="28">(E899*D899)-F899</f>
        <v>539.88</v>
      </c>
      <c r="H899" s="1" t="str">
        <f>_xlfn.XLOOKUP(C899,Product!A:A,Product!B:B,"not found",0)</f>
        <v>Electra Cruiser 1 (24-Inch) - 2016</v>
      </c>
      <c r="I899" s="1">
        <f t="shared" ref="I899:I962" si="29">(D899*E899)-F899</f>
        <v>539.88</v>
      </c>
    </row>
    <row r="900" spans="1:9" x14ac:dyDescent="0.2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 s="1">
        <f t="shared" si="28"/>
        <v>999.78</v>
      </c>
      <c r="H900" s="1" t="str">
        <f>_xlfn.XLOOKUP(C900,Product!A:A,Product!B:B,"not found",0)</f>
        <v>Electra Townie Original 7D - 2015/2016</v>
      </c>
      <c r="I900" s="1">
        <f t="shared" si="29"/>
        <v>999.78</v>
      </c>
    </row>
    <row r="901" spans="1:9" x14ac:dyDescent="0.2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 s="1">
        <f t="shared" si="28"/>
        <v>2999.9399999999996</v>
      </c>
      <c r="H901" s="1" t="str">
        <f>_xlfn.XLOOKUP(C901,Product!A:A,Product!B:B,"not found",0)</f>
        <v>Trek Conduit+ - 2016</v>
      </c>
      <c r="I901" s="1">
        <f t="shared" si="29"/>
        <v>2999.9399999999996</v>
      </c>
    </row>
    <row r="902" spans="1:9" x14ac:dyDescent="0.2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 s="1">
        <f t="shared" si="28"/>
        <v>1680.92</v>
      </c>
      <c r="H902" s="1" t="str">
        <f>_xlfn.XLOOKUP(C902,Product!A:A,Product!B:B,"not found",0)</f>
        <v>Surly Straggler 650b - 2016</v>
      </c>
      <c r="I902" s="1">
        <f t="shared" si="29"/>
        <v>1680.92</v>
      </c>
    </row>
    <row r="903" spans="1:9" x14ac:dyDescent="0.2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 s="1">
        <f t="shared" si="28"/>
        <v>269.79000000000002</v>
      </c>
      <c r="H903" s="1" t="str">
        <f>_xlfn.XLOOKUP(C903,Product!A:A,Product!B:B,"not found",0)</f>
        <v>Electra Cruiser 1 (24-Inch) - 2016</v>
      </c>
      <c r="I903" s="1">
        <f t="shared" si="29"/>
        <v>269.79000000000002</v>
      </c>
    </row>
    <row r="904" spans="1:9" x14ac:dyDescent="0.2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 s="1">
        <f t="shared" si="28"/>
        <v>1059.8800000000001</v>
      </c>
      <c r="H904" s="1" t="str">
        <f>_xlfn.XLOOKUP(C904,Product!A:A,Product!B:B,"not found",0)</f>
        <v>Electra Moto 1 - 2016</v>
      </c>
      <c r="I904" s="1">
        <f t="shared" si="29"/>
        <v>1059.8800000000001</v>
      </c>
    </row>
    <row r="905" spans="1:9" x14ac:dyDescent="0.2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 s="1">
        <f t="shared" si="28"/>
        <v>299.94</v>
      </c>
      <c r="H905" s="1" t="str">
        <f>_xlfn.XLOOKUP(C905,Product!A:A,Product!B:B,"not found",0)</f>
        <v>Electra Girl's Hawaii 1 (20-inch) - 2015/2016</v>
      </c>
      <c r="I905" s="1">
        <f t="shared" si="29"/>
        <v>299.94</v>
      </c>
    </row>
    <row r="906" spans="1:9" x14ac:dyDescent="0.2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 s="1">
        <f t="shared" si="28"/>
        <v>749.89</v>
      </c>
      <c r="H906" s="1" t="str">
        <f>_xlfn.XLOOKUP(C906,Product!A:A,Product!B:B,"not found",0)</f>
        <v>Ritchey Timberwolf Frameset - 2016</v>
      </c>
      <c r="I906" s="1">
        <f t="shared" si="29"/>
        <v>749.89</v>
      </c>
    </row>
    <row r="907" spans="1:9" x14ac:dyDescent="0.2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 s="1">
        <f t="shared" si="28"/>
        <v>5799.78</v>
      </c>
      <c r="H907" s="1" t="str">
        <f>_xlfn.XLOOKUP(C907,Product!A:A,Product!B:B,"not found",0)</f>
        <v>Trek Fuel EX 8 29 - 2016</v>
      </c>
      <c r="I907" s="1">
        <f t="shared" si="29"/>
        <v>5799.78</v>
      </c>
    </row>
    <row r="908" spans="1:9" x14ac:dyDescent="0.2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 s="1">
        <f t="shared" si="28"/>
        <v>1099.78</v>
      </c>
      <c r="H908" s="1" t="str">
        <f>_xlfn.XLOOKUP(C908,Product!A:A,Product!B:B,"not found",0)</f>
        <v>Electra Townie Original 21D - 2016</v>
      </c>
      <c r="I908" s="1">
        <f t="shared" si="29"/>
        <v>1099.78</v>
      </c>
    </row>
    <row r="909" spans="1:9" x14ac:dyDescent="0.2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 s="1">
        <f t="shared" si="28"/>
        <v>599.79</v>
      </c>
      <c r="H909" s="1" t="str">
        <f>_xlfn.XLOOKUP(C909,Product!A:A,Product!B:B,"not found",0)</f>
        <v>Electra Townie Original 7D EQ - 2016</v>
      </c>
      <c r="I909" s="1">
        <f t="shared" si="29"/>
        <v>599.79</v>
      </c>
    </row>
    <row r="910" spans="1:9" x14ac:dyDescent="0.2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 s="1">
        <f t="shared" si="28"/>
        <v>599.78</v>
      </c>
      <c r="H910" s="1" t="str">
        <f>_xlfn.XLOOKUP(C910,Product!A:A,Product!B:B,"not found",0)</f>
        <v>Electra Girl's Hawaii 1 (20-inch) - 2015/2016</v>
      </c>
      <c r="I910" s="1">
        <f t="shared" si="29"/>
        <v>599.78</v>
      </c>
    </row>
    <row r="911" spans="1:9" x14ac:dyDescent="0.2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 s="1">
        <f t="shared" si="28"/>
        <v>539.78</v>
      </c>
      <c r="H911" s="1" t="str">
        <f>_xlfn.XLOOKUP(C911,Product!A:A,Product!B:B,"not found",0)</f>
        <v>Electra Cruiser 1 (24-Inch) - 2016</v>
      </c>
      <c r="I911" s="1">
        <f t="shared" si="29"/>
        <v>539.78</v>
      </c>
    </row>
    <row r="912" spans="1:9" x14ac:dyDescent="0.2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 s="1">
        <f t="shared" si="28"/>
        <v>269.92</v>
      </c>
      <c r="H912" s="1" t="str">
        <f>_xlfn.XLOOKUP(C912,Product!A:A,Product!B:B,"not found",0)</f>
        <v>Electra Cruiser 1 (24-Inch) - 2016</v>
      </c>
      <c r="I912" s="1">
        <f t="shared" si="29"/>
        <v>269.92</v>
      </c>
    </row>
    <row r="913" spans="1:9" x14ac:dyDescent="0.2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 s="1">
        <f t="shared" si="28"/>
        <v>539.91</v>
      </c>
      <c r="H913" s="1" t="str">
        <f>_xlfn.XLOOKUP(C913,Product!A:A,Product!B:B,"not found",0)</f>
        <v>Electra Cruiser 1 (24-Inch) - 2016</v>
      </c>
      <c r="I913" s="1">
        <f t="shared" si="29"/>
        <v>539.91</v>
      </c>
    </row>
    <row r="914" spans="1:9" x14ac:dyDescent="0.2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 s="1">
        <f t="shared" si="28"/>
        <v>1199.8800000000001</v>
      </c>
      <c r="H914" s="1" t="str">
        <f>_xlfn.XLOOKUP(C914,Product!A:A,Product!B:B,"not found",0)</f>
        <v>Electra Townie Original 7D EQ - 2016</v>
      </c>
      <c r="I914" s="1">
        <f t="shared" si="29"/>
        <v>1199.8800000000001</v>
      </c>
    </row>
    <row r="915" spans="1:9" x14ac:dyDescent="0.2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 s="1">
        <f t="shared" si="28"/>
        <v>1499.88</v>
      </c>
      <c r="H915" s="1" t="str">
        <f>_xlfn.XLOOKUP(C915,Product!A:A,Product!B:B,"not found",0)</f>
        <v>Ritchey Timberwolf Frameset - 2016</v>
      </c>
      <c r="I915" s="1">
        <f t="shared" si="29"/>
        <v>1499.88</v>
      </c>
    </row>
    <row r="916" spans="1:9" x14ac:dyDescent="0.2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 s="1">
        <f t="shared" si="28"/>
        <v>428.8</v>
      </c>
      <c r="H916" s="1" t="str">
        <f>_xlfn.XLOOKUP(C916,Product!A:A,Product!B:B,"not found",0)</f>
        <v>Pure Cycles Vine 8-Speed - 2016</v>
      </c>
      <c r="I916" s="1">
        <f t="shared" si="29"/>
        <v>428.8</v>
      </c>
    </row>
    <row r="917" spans="1:9" x14ac:dyDescent="0.2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 s="1">
        <f t="shared" si="28"/>
        <v>539.78</v>
      </c>
      <c r="H917" s="1" t="str">
        <f>_xlfn.XLOOKUP(C917,Product!A:A,Product!B:B,"not found",0)</f>
        <v>Electra Girl's Hawaii 1 (16-inch) - 2015/2016</v>
      </c>
      <c r="I917" s="1">
        <f t="shared" si="29"/>
        <v>539.78</v>
      </c>
    </row>
    <row r="918" spans="1:9" x14ac:dyDescent="0.2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 s="1">
        <f t="shared" si="28"/>
        <v>448.95</v>
      </c>
      <c r="H918" s="1" t="str">
        <f>_xlfn.XLOOKUP(C918,Product!A:A,Product!B:B,"not found",0)</f>
        <v>Pure Cycles William 3-Speed - 2016</v>
      </c>
      <c r="I918" s="1">
        <f t="shared" si="29"/>
        <v>448.95</v>
      </c>
    </row>
    <row r="919" spans="1:9" x14ac:dyDescent="0.2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 s="1">
        <f t="shared" si="28"/>
        <v>549.94000000000005</v>
      </c>
      <c r="H919" s="1" t="str">
        <f>_xlfn.XLOOKUP(C919,Product!A:A,Product!B:B,"not found",0)</f>
        <v>Electra Townie Original 21D - 2016</v>
      </c>
      <c r="I919" s="1">
        <f t="shared" si="29"/>
        <v>549.94000000000005</v>
      </c>
    </row>
    <row r="920" spans="1:9" x14ac:dyDescent="0.2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 s="1">
        <f t="shared" si="28"/>
        <v>3999.9399999999996</v>
      </c>
      <c r="H920" s="1" t="str">
        <f>_xlfn.XLOOKUP(C920,Product!A:A,Product!B:B,"not found",0)</f>
        <v>Trek Slash 8 27.5 - 2016</v>
      </c>
      <c r="I920" s="1">
        <f t="shared" si="29"/>
        <v>3999.9399999999996</v>
      </c>
    </row>
    <row r="921" spans="1:9" x14ac:dyDescent="0.2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 s="1">
        <f t="shared" si="28"/>
        <v>549.79</v>
      </c>
      <c r="H921" s="1" t="str">
        <f>_xlfn.XLOOKUP(C921,Product!A:A,Product!B:B,"not found",0)</f>
        <v>Electra Townie Original 21D - 2016</v>
      </c>
      <c r="I921" s="1">
        <f t="shared" si="29"/>
        <v>549.79</v>
      </c>
    </row>
    <row r="922" spans="1:9" x14ac:dyDescent="0.2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 s="1">
        <f t="shared" si="28"/>
        <v>939.78</v>
      </c>
      <c r="H922" s="1" t="str">
        <f>_xlfn.XLOOKUP(C922,Product!A:A,Product!B:B,"not found",0)</f>
        <v>Surly Ice Cream Truck Frameset - 2016</v>
      </c>
      <c r="I922" s="1">
        <f t="shared" si="29"/>
        <v>939.78</v>
      </c>
    </row>
    <row r="923" spans="1:9" x14ac:dyDescent="0.2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 s="1">
        <f t="shared" si="28"/>
        <v>549.89</v>
      </c>
      <c r="H923" s="1" t="str">
        <f>_xlfn.XLOOKUP(C923,Product!A:A,Product!B:B,"not found",0)</f>
        <v>Electra Townie Original 21D - 2016</v>
      </c>
      <c r="I923" s="1">
        <f t="shared" si="29"/>
        <v>549.89</v>
      </c>
    </row>
    <row r="924" spans="1:9" x14ac:dyDescent="0.2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 s="1">
        <f t="shared" si="28"/>
        <v>299.92</v>
      </c>
      <c r="H924" s="1" t="str">
        <f>_xlfn.XLOOKUP(C924,Product!A:A,Product!B:B,"not found",0)</f>
        <v>Electra Girl's Hawaii 1 (20-inch) - 2015/2016</v>
      </c>
      <c r="I924" s="1">
        <f t="shared" si="29"/>
        <v>299.92</v>
      </c>
    </row>
    <row r="925" spans="1:9" x14ac:dyDescent="0.2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 s="1">
        <f t="shared" si="28"/>
        <v>1099.9100000000001</v>
      </c>
      <c r="H925" s="1" t="str">
        <f>_xlfn.XLOOKUP(C925,Product!A:A,Product!B:B,"not found",0)</f>
        <v>Electra Townie Original 21D - 2016</v>
      </c>
      <c r="I925" s="1">
        <f t="shared" si="29"/>
        <v>1099.9100000000001</v>
      </c>
    </row>
    <row r="926" spans="1:9" x14ac:dyDescent="0.2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 s="1">
        <f t="shared" si="28"/>
        <v>269.92</v>
      </c>
      <c r="H926" s="1" t="str">
        <f>_xlfn.XLOOKUP(C926,Product!A:A,Product!B:B,"not found",0)</f>
        <v>Electra Cruiser 1 (24-Inch) - 2016</v>
      </c>
      <c r="I926" s="1">
        <f t="shared" si="29"/>
        <v>269.92</v>
      </c>
    </row>
    <row r="927" spans="1:9" x14ac:dyDescent="0.2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 s="1">
        <f t="shared" si="28"/>
        <v>2899.9399999999996</v>
      </c>
      <c r="H927" s="1" t="str">
        <f>_xlfn.XLOOKUP(C927,Product!A:A,Product!B:B,"not found",0)</f>
        <v>Trek Fuel EX 8 29 - 2016</v>
      </c>
      <c r="I927" s="1">
        <f t="shared" si="29"/>
        <v>2899.9399999999996</v>
      </c>
    </row>
    <row r="928" spans="1:9" x14ac:dyDescent="0.2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 s="1">
        <f t="shared" si="28"/>
        <v>939.88</v>
      </c>
      <c r="H928" s="1" t="str">
        <f>_xlfn.XLOOKUP(C928,Product!A:A,Product!B:B,"not found",0)</f>
        <v>Surly Ice Cream Truck Frameset - 2016</v>
      </c>
      <c r="I928" s="1">
        <f t="shared" si="29"/>
        <v>939.88</v>
      </c>
    </row>
    <row r="929" spans="1:9" x14ac:dyDescent="0.2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 s="1">
        <f t="shared" si="28"/>
        <v>539.91</v>
      </c>
      <c r="H929" s="1" t="str">
        <f>_xlfn.XLOOKUP(C929,Product!A:A,Product!B:B,"not found",0)</f>
        <v>Electra Girl's Hawaii 1 (16-inch) - 2015/2016</v>
      </c>
      <c r="I929" s="1">
        <f t="shared" si="29"/>
        <v>539.91</v>
      </c>
    </row>
    <row r="930" spans="1:9" x14ac:dyDescent="0.2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 s="1">
        <f t="shared" si="28"/>
        <v>3599.93</v>
      </c>
      <c r="H930" s="1" t="str">
        <f>_xlfn.XLOOKUP(C930,Product!A:A,Product!B:B,"not found",0)</f>
        <v>Trek Remedy 29 Carbon Frameset - 2016</v>
      </c>
      <c r="I930" s="1">
        <f t="shared" si="29"/>
        <v>3599.93</v>
      </c>
    </row>
    <row r="931" spans="1:9" x14ac:dyDescent="0.2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 s="1">
        <f t="shared" si="28"/>
        <v>299.79000000000002</v>
      </c>
      <c r="H931" s="1" t="str">
        <f>_xlfn.XLOOKUP(C931,Product!A:A,Product!B:B,"not found",0)</f>
        <v>Electra Girl's Hawaii 1 (20-inch) - 2015/2016</v>
      </c>
      <c r="I931" s="1">
        <f t="shared" si="29"/>
        <v>299.79000000000002</v>
      </c>
    </row>
    <row r="932" spans="1:9" x14ac:dyDescent="0.2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 s="1">
        <f t="shared" si="28"/>
        <v>428.93</v>
      </c>
      <c r="H932" s="1" t="str">
        <f>_xlfn.XLOOKUP(C932,Product!A:A,Product!B:B,"not found",0)</f>
        <v>Pure Cycles Vine 8-Speed - 2016</v>
      </c>
      <c r="I932" s="1">
        <f t="shared" si="29"/>
        <v>428.93</v>
      </c>
    </row>
    <row r="933" spans="1:9" x14ac:dyDescent="0.2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 s="1">
        <f t="shared" si="28"/>
        <v>1199.93</v>
      </c>
      <c r="H933" s="1" t="str">
        <f>_xlfn.XLOOKUP(C933,Product!A:A,Product!B:B,"not found",0)</f>
        <v>Electra Townie Original 7D EQ - 2016</v>
      </c>
      <c r="I933" s="1">
        <f t="shared" si="29"/>
        <v>1199.93</v>
      </c>
    </row>
    <row r="934" spans="1:9" x14ac:dyDescent="0.2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 s="1">
        <f t="shared" si="28"/>
        <v>539.93000000000006</v>
      </c>
      <c r="H934" s="1" t="str">
        <f>_xlfn.XLOOKUP(C934,Product!A:A,Product!B:B,"not found",0)</f>
        <v>Electra Cruiser 1 (24-Inch) - 2016</v>
      </c>
      <c r="I934" s="1">
        <f t="shared" si="29"/>
        <v>539.93000000000006</v>
      </c>
    </row>
    <row r="935" spans="1:9" x14ac:dyDescent="0.2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 s="1">
        <f t="shared" si="28"/>
        <v>857.9</v>
      </c>
      <c r="H935" s="1" t="str">
        <f>_xlfn.XLOOKUP(C935,Product!A:A,Product!B:B,"not found",0)</f>
        <v>Pure Cycles Vine 8-Speed - 2016</v>
      </c>
      <c r="I935" s="1">
        <f t="shared" si="29"/>
        <v>857.9</v>
      </c>
    </row>
    <row r="936" spans="1:9" x14ac:dyDescent="0.2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 s="1">
        <f t="shared" si="28"/>
        <v>897.95</v>
      </c>
      <c r="H936" s="1" t="str">
        <f>_xlfn.XLOOKUP(C936,Product!A:A,Product!B:B,"not found",0)</f>
        <v>Pure Cycles Western 3-Speed - Women's - 2015/2016</v>
      </c>
      <c r="I936" s="1">
        <f t="shared" si="29"/>
        <v>897.95</v>
      </c>
    </row>
    <row r="937" spans="1:9" x14ac:dyDescent="0.2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 s="1">
        <f t="shared" si="28"/>
        <v>897.93</v>
      </c>
      <c r="H937" s="1" t="str">
        <f>_xlfn.XLOOKUP(C937,Product!A:A,Product!B:B,"not found",0)</f>
        <v>Pure Cycles Western 3-Speed - Women's - 2015/2016</v>
      </c>
      <c r="I937" s="1">
        <f t="shared" si="29"/>
        <v>897.93</v>
      </c>
    </row>
    <row r="938" spans="1:9" x14ac:dyDescent="0.2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 s="1">
        <f t="shared" si="28"/>
        <v>3599.93</v>
      </c>
      <c r="H938" s="1" t="str">
        <f>_xlfn.XLOOKUP(C938,Product!A:A,Product!B:B,"not found",0)</f>
        <v>Trek Remedy 29 Carbon Frameset - 2016</v>
      </c>
      <c r="I938" s="1">
        <f t="shared" si="29"/>
        <v>3599.93</v>
      </c>
    </row>
    <row r="939" spans="1:9" x14ac:dyDescent="0.2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 s="1">
        <f t="shared" si="28"/>
        <v>999.79</v>
      </c>
      <c r="H939" s="1" t="str">
        <f>_xlfn.XLOOKUP(C939,Product!A:A,Product!B:B,"not found",0)</f>
        <v>Surly Wednesday Frameset - 2016</v>
      </c>
      <c r="I939" s="1">
        <f t="shared" si="29"/>
        <v>999.79</v>
      </c>
    </row>
    <row r="940" spans="1:9" x14ac:dyDescent="0.2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 s="1">
        <f t="shared" si="28"/>
        <v>1199.78</v>
      </c>
      <c r="H940" s="1" t="str">
        <f>_xlfn.XLOOKUP(C940,Product!A:A,Product!B:B,"not found",0)</f>
        <v>Electra Townie Original 7D EQ - 2016</v>
      </c>
      <c r="I940" s="1">
        <f t="shared" si="29"/>
        <v>1199.78</v>
      </c>
    </row>
    <row r="941" spans="1:9" x14ac:dyDescent="0.2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 s="1">
        <f t="shared" si="28"/>
        <v>2999.9399999999996</v>
      </c>
      <c r="H941" s="1" t="str">
        <f>_xlfn.XLOOKUP(C941,Product!A:A,Product!B:B,"not found",0)</f>
        <v>Trek Conduit+ - 2016</v>
      </c>
      <c r="I941" s="1">
        <f t="shared" si="29"/>
        <v>2999.9399999999996</v>
      </c>
    </row>
    <row r="942" spans="1:9" x14ac:dyDescent="0.2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 s="1">
        <f t="shared" si="28"/>
        <v>1999.93</v>
      </c>
      <c r="H942" s="1" t="str">
        <f>_xlfn.XLOOKUP(C942,Product!A:A,Product!B:B,"not found",0)</f>
        <v>Surly Wednesday Frameset - 2016</v>
      </c>
      <c r="I942" s="1">
        <f t="shared" si="29"/>
        <v>1999.93</v>
      </c>
    </row>
    <row r="943" spans="1:9" x14ac:dyDescent="0.2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 s="1">
        <f t="shared" si="28"/>
        <v>469.89</v>
      </c>
      <c r="H943" s="1" t="str">
        <f>_xlfn.XLOOKUP(C943,Product!A:A,Product!B:B,"not found",0)</f>
        <v>Surly Ice Cream Truck Frameset - 2016</v>
      </c>
      <c r="I943" s="1">
        <f t="shared" si="29"/>
        <v>469.89</v>
      </c>
    </row>
    <row r="944" spans="1:9" x14ac:dyDescent="0.2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 s="1">
        <f t="shared" si="28"/>
        <v>1499.88</v>
      </c>
      <c r="H944" s="1" t="str">
        <f>_xlfn.XLOOKUP(C944,Product!A:A,Product!B:B,"not found",0)</f>
        <v>Ritchey Timberwolf Frameset - 2016</v>
      </c>
      <c r="I944" s="1">
        <f t="shared" si="29"/>
        <v>1499.88</v>
      </c>
    </row>
    <row r="945" spans="1:9" x14ac:dyDescent="0.2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 s="1">
        <f t="shared" si="28"/>
        <v>269.92</v>
      </c>
      <c r="H945" s="1" t="str">
        <f>_xlfn.XLOOKUP(C945,Product!A:A,Product!B:B,"not found",0)</f>
        <v>Electra Cruiser 1 (24-Inch) - 2016</v>
      </c>
      <c r="I945" s="1">
        <f t="shared" si="29"/>
        <v>269.92</v>
      </c>
    </row>
    <row r="946" spans="1:9" x14ac:dyDescent="0.2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 s="1">
        <f t="shared" si="28"/>
        <v>2899.89</v>
      </c>
      <c r="H946" s="1" t="str">
        <f>_xlfn.XLOOKUP(C946,Product!A:A,Product!B:B,"not found",0)</f>
        <v>Trek Fuel EX 8 29 - 2016</v>
      </c>
      <c r="I946" s="1">
        <f t="shared" si="29"/>
        <v>2899.89</v>
      </c>
    </row>
    <row r="947" spans="1:9" x14ac:dyDescent="0.2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 s="1">
        <f t="shared" si="28"/>
        <v>549.79</v>
      </c>
      <c r="H947" s="1" t="str">
        <f>_xlfn.XLOOKUP(C947,Product!A:A,Product!B:B,"not found",0)</f>
        <v>Electra Townie Original 21D - 2016</v>
      </c>
      <c r="I947" s="1">
        <f t="shared" si="29"/>
        <v>549.79</v>
      </c>
    </row>
    <row r="948" spans="1:9" x14ac:dyDescent="0.2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 s="1">
        <f t="shared" si="28"/>
        <v>448.95</v>
      </c>
      <c r="H948" s="1" t="str">
        <f>_xlfn.XLOOKUP(C948,Product!A:A,Product!B:B,"not found",0)</f>
        <v>Pure Cycles Western 3-Speed - Women's - 2015/2016</v>
      </c>
      <c r="I948" s="1">
        <f t="shared" si="29"/>
        <v>448.95</v>
      </c>
    </row>
    <row r="949" spans="1:9" x14ac:dyDescent="0.2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 s="1">
        <f t="shared" si="28"/>
        <v>2899.9399999999996</v>
      </c>
      <c r="H949" s="1" t="str">
        <f>_xlfn.XLOOKUP(C949,Product!A:A,Product!B:B,"not found",0)</f>
        <v>Trek Fuel EX 8 29 - 2016</v>
      </c>
      <c r="I949" s="1">
        <f t="shared" si="29"/>
        <v>2899.9399999999996</v>
      </c>
    </row>
    <row r="950" spans="1:9" x14ac:dyDescent="0.2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 s="1">
        <f t="shared" si="28"/>
        <v>939.91</v>
      </c>
      <c r="H950" s="1" t="str">
        <f>_xlfn.XLOOKUP(C950,Product!A:A,Product!B:B,"not found",0)</f>
        <v>Surly Ice Cream Truck Frameset - 2016</v>
      </c>
      <c r="I950" s="1">
        <f t="shared" si="29"/>
        <v>939.91</v>
      </c>
    </row>
    <row r="951" spans="1:9" x14ac:dyDescent="0.2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 s="1">
        <f t="shared" si="28"/>
        <v>1548.93</v>
      </c>
      <c r="H951" s="1" t="str">
        <f>_xlfn.XLOOKUP(C951,Product!A:A,Product!B:B,"not found",0)</f>
        <v>Surly Straggler - 2016</v>
      </c>
      <c r="I951" s="1">
        <f t="shared" si="29"/>
        <v>1548.93</v>
      </c>
    </row>
    <row r="952" spans="1:9" x14ac:dyDescent="0.2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 s="1">
        <f t="shared" si="28"/>
        <v>269.89</v>
      </c>
      <c r="H952" s="1" t="str">
        <f>_xlfn.XLOOKUP(C952,Product!A:A,Product!B:B,"not found",0)</f>
        <v>Electra Girl's Hawaii 1 (16-inch) - 2015/2016</v>
      </c>
      <c r="I952" s="1">
        <f t="shared" si="29"/>
        <v>269.89</v>
      </c>
    </row>
    <row r="953" spans="1:9" x14ac:dyDescent="0.2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 s="1">
        <f t="shared" si="28"/>
        <v>3361.91</v>
      </c>
      <c r="H953" s="1" t="str">
        <f>_xlfn.XLOOKUP(C953,Product!A:A,Product!B:B,"not found",0)</f>
        <v>Surly Straggler 650b - 2016</v>
      </c>
      <c r="I953" s="1">
        <f t="shared" si="29"/>
        <v>3361.91</v>
      </c>
    </row>
    <row r="954" spans="1:9" x14ac:dyDescent="0.2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 s="1">
        <f t="shared" si="28"/>
        <v>2999.9399999999996</v>
      </c>
      <c r="H954" s="1" t="str">
        <f>_xlfn.XLOOKUP(C954,Product!A:A,Product!B:B,"not found",0)</f>
        <v>Trek Conduit+ - 2016</v>
      </c>
      <c r="I954" s="1">
        <f t="shared" si="29"/>
        <v>2999.9399999999996</v>
      </c>
    </row>
    <row r="955" spans="1:9" x14ac:dyDescent="0.2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 s="1">
        <f t="shared" si="28"/>
        <v>269.89</v>
      </c>
      <c r="H955" s="1" t="str">
        <f>_xlfn.XLOOKUP(C955,Product!A:A,Product!B:B,"not found",0)</f>
        <v>Electra Cruiser 1 (24-Inch) - 2016</v>
      </c>
      <c r="I955" s="1">
        <f t="shared" si="29"/>
        <v>269.89</v>
      </c>
    </row>
    <row r="956" spans="1:9" x14ac:dyDescent="0.2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 s="1">
        <f t="shared" si="28"/>
        <v>1059.93</v>
      </c>
      <c r="H956" s="1" t="str">
        <f>_xlfn.XLOOKUP(C956,Product!A:A,Product!B:B,"not found",0)</f>
        <v>Electra Moto 1 - 2016</v>
      </c>
      <c r="I956" s="1">
        <f t="shared" si="29"/>
        <v>1059.93</v>
      </c>
    </row>
    <row r="957" spans="1:9" x14ac:dyDescent="0.2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 s="1">
        <f t="shared" si="28"/>
        <v>1680.94</v>
      </c>
      <c r="H957" s="1" t="str">
        <f>_xlfn.XLOOKUP(C957,Product!A:A,Product!B:B,"not found",0)</f>
        <v>Surly Straggler 650b - 2016</v>
      </c>
      <c r="I957" s="1">
        <f t="shared" si="29"/>
        <v>1680.94</v>
      </c>
    </row>
    <row r="958" spans="1:9" x14ac:dyDescent="0.2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 s="1">
        <f t="shared" si="28"/>
        <v>549.94000000000005</v>
      </c>
      <c r="H958" s="1" t="str">
        <f>_xlfn.XLOOKUP(C958,Product!A:A,Product!B:B,"not found",0)</f>
        <v>Electra Townie Original 21D - 2016</v>
      </c>
      <c r="I958" s="1">
        <f t="shared" si="29"/>
        <v>549.94000000000005</v>
      </c>
    </row>
    <row r="959" spans="1:9" x14ac:dyDescent="0.2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 s="1">
        <f t="shared" si="28"/>
        <v>539.88</v>
      </c>
      <c r="H959" s="1" t="str">
        <f>_xlfn.XLOOKUP(C959,Product!A:A,Product!B:B,"not found",0)</f>
        <v>Electra Cruiser 1 (24-Inch) - 2016</v>
      </c>
      <c r="I959" s="1">
        <f t="shared" si="29"/>
        <v>539.88</v>
      </c>
    </row>
    <row r="960" spans="1:9" x14ac:dyDescent="0.2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 s="1">
        <f t="shared" si="28"/>
        <v>1099.9100000000001</v>
      </c>
      <c r="H960" s="1" t="str">
        <f>_xlfn.XLOOKUP(C960,Product!A:A,Product!B:B,"not found",0)</f>
        <v>Electra Townie Original 21D - 2016</v>
      </c>
      <c r="I960" s="1">
        <f t="shared" si="29"/>
        <v>1099.9100000000001</v>
      </c>
    </row>
    <row r="961" spans="1:9" x14ac:dyDescent="0.2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 s="1">
        <f t="shared" si="28"/>
        <v>3097.9</v>
      </c>
      <c r="H961" s="1" t="str">
        <f>_xlfn.XLOOKUP(C961,Product!A:A,Product!B:B,"not found",0)</f>
        <v>Surly Straggler - 2016</v>
      </c>
      <c r="I961" s="1">
        <f t="shared" si="29"/>
        <v>3097.9</v>
      </c>
    </row>
    <row r="962" spans="1:9" x14ac:dyDescent="0.2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 s="1">
        <f t="shared" si="28"/>
        <v>599.93000000000006</v>
      </c>
      <c r="H962" s="1" t="str">
        <f>_xlfn.XLOOKUP(C962,Product!A:A,Product!B:B,"not found",0)</f>
        <v>Electra Girl's Hawaii 1 (20-inch) - 2015/2016</v>
      </c>
      <c r="I962" s="1">
        <f t="shared" si="29"/>
        <v>599.93000000000006</v>
      </c>
    </row>
    <row r="963" spans="1:9" x14ac:dyDescent="0.2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 s="1">
        <f t="shared" ref="G963:G1026" si="30">(E963*D963)-F963</f>
        <v>599.91999999999996</v>
      </c>
      <c r="H963" s="1" t="str">
        <f>_xlfn.XLOOKUP(C963,Product!A:A,Product!B:B,"not found",0)</f>
        <v>Electra Townie Original 7D EQ - 2016</v>
      </c>
      <c r="I963" s="1">
        <f t="shared" ref="I963:I1026" si="31">(D963*E963)-F963</f>
        <v>599.91999999999996</v>
      </c>
    </row>
    <row r="964" spans="1:9" x14ac:dyDescent="0.2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 s="1">
        <f t="shared" si="30"/>
        <v>2999.79</v>
      </c>
      <c r="H964" s="1" t="str">
        <f>_xlfn.XLOOKUP(C964,Product!A:A,Product!B:B,"not found",0)</f>
        <v>Trek Conduit+ - 2016</v>
      </c>
      <c r="I964" s="1">
        <f t="shared" si="31"/>
        <v>2999.79</v>
      </c>
    </row>
    <row r="965" spans="1:9" x14ac:dyDescent="0.2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 s="1">
        <f t="shared" si="30"/>
        <v>1199.8800000000001</v>
      </c>
      <c r="H965" s="1" t="str">
        <f>_xlfn.XLOOKUP(C965,Product!A:A,Product!B:B,"not found",0)</f>
        <v>Electra Townie Original 7D EQ - 2016</v>
      </c>
      <c r="I965" s="1">
        <f t="shared" si="31"/>
        <v>1199.8800000000001</v>
      </c>
    </row>
    <row r="966" spans="1:9" x14ac:dyDescent="0.2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 s="1">
        <f t="shared" si="30"/>
        <v>1199.78</v>
      </c>
      <c r="H966" s="1" t="str">
        <f>_xlfn.XLOOKUP(C966,Product!A:A,Product!B:B,"not found",0)</f>
        <v>Electra Townie Original 7D EQ - Women's - 2016</v>
      </c>
      <c r="I966" s="1">
        <f t="shared" si="31"/>
        <v>1199.78</v>
      </c>
    </row>
    <row r="967" spans="1:9" x14ac:dyDescent="0.2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 s="1">
        <f t="shared" si="30"/>
        <v>499.94</v>
      </c>
      <c r="H967" s="1" t="str">
        <f>_xlfn.XLOOKUP(C967,Product!A:A,Product!B:B,"not found",0)</f>
        <v>Electra Townie Original 7D - 2015/2016</v>
      </c>
      <c r="I967" s="1">
        <f t="shared" si="31"/>
        <v>499.94</v>
      </c>
    </row>
    <row r="968" spans="1:9" x14ac:dyDescent="0.2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 s="1">
        <f t="shared" si="30"/>
        <v>2641.93</v>
      </c>
      <c r="H968" s="1" t="str">
        <f>_xlfn.XLOOKUP(C968,Product!A:A,Product!B:B,"not found",0)</f>
        <v>Heller Shagamaw Frame - 2016</v>
      </c>
      <c r="I968" s="1">
        <f t="shared" si="31"/>
        <v>2641.93</v>
      </c>
    </row>
    <row r="969" spans="1:9" x14ac:dyDescent="0.2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 s="1">
        <f t="shared" si="30"/>
        <v>1548.9</v>
      </c>
      <c r="H969" s="1" t="str">
        <f>_xlfn.XLOOKUP(C969,Product!A:A,Product!B:B,"not found",0)</f>
        <v>Surly Straggler - 2016</v>
      </c>
      <c r="I969" s="1">
        <f t="shared" si="31"/>
        <v>1548.9</v>
      </c>
    </row>
    <row r="970" spans="1:9" x14ac:dyDescent="0.2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 s="1">
        <f t="shared" si="30"/>
        <v>269.94</v>
      </c>
      <c r="H970" s="1" t="str">
        <f>_xlfn.XLOOKUP(C970,Product!A:A,Product!B:B,"not found",0)</f>
        <v>Electra Girl's Hawaii 1 (16-inch) - 2015/2016</v>
      </c>
      <c r="I970" s="1">
        <f t="shared" si="31"/>
        <v>269.94</v>
      </c>
    </row>
    <row r="971" spans="1:9" x14ac:dyDescent="0.2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 s="1">
        <f t="shared" si="30"/>
        <v>897.93</v>
      </c>
      <c r="H971" s="1" t="str">
        <f>_xlfn.XLOOKUP(C971,Product!A:A,Product!B:B,"not found",0)</f>
        <v>Pure Cycles Western 3-Speed - Women's - 2015/2016</v>
      </c>
      <c r="I971" s="1">
        <f t="shared" si="31"/>
        <v>897.93</v>
      </c>
    </row>
    <row r="972" spans="1:9" x14ac:dyDescent="0.2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 s="1">
        <f t="shared" si="30"/>
        <v>269.79000000000002</v>
      </c>
      <c r="H972" s="1" t="str">
        <f>_xlfn.XLOOKUP(C972,Product!A:A,Product!B:B,"not found",0)</f>
        <v>Electra Girl's Hawaii 1 (16-inch) - 2015/2016</v>
      </c>
      <c r="I972" s="1">
        <f t="shared" si="31"/>
        <v>269.79000000000002</v>
      </c>
    </row>
    <row r="973" spans="1:9" x14ac:dyDescent="0.2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 s="1">
        <f t="shared" si="30"/>
        <v>897.9</v>
      </c>
      <c r="H973" s="1" t="str">
        <f>_xlfn.XLOOKUP(C973,Product!A:A,Product!B:B,"not found",0)</f>
        <v>Pure Cycles Western 3-Speed - Women's - 2015/2016</v>
      </c>
      <c r="I973" s="1">
        <f t="shared" si="31"/>
        <v>897.9</v>
      </c>
    </row>
    <row r="974" spans="1:9" x14ac:dyDescent="0.2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 s="1">
        <f t="shared" si="30"/>
        <v>1099.9100000000001</v>
      </c>
      <c r="H974" s="1" t="str">
        <f>_xlfn.XLOOKUP(C974,Product!A:A,Product!B:B,"not found",0)</f>
        <v>Electra Townie Original 21D - 2016</v>
      </c>
      <c r="I974" s="1">
        <f t="shared" si="31"/>
        <v>1099.9100000000001</v>
      </c>
    </row>
    <row r="975" spans="1:9" x14ac:dyDescent="0.2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 s="1">
        <f t="shared" si="30"/>
        <v>269.92</v>
      </c>
      <c r="H975" s="1" t="str">
        <f>_xlfn.XLOOKUP(C975,Product!A:A,Product!B:B,"not found",0)</f>
        <v>Electra Cruiser 1 (24-Inch) - 2016</v>
      </c>
      <c r="I975" s="1">
        <f t="shared" si="31"/>
        <v>269.92</v>
      </c>
    </row>
    <row r="976" spans="1:9" x14ac:dyDescent="0.2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 s="1">
        <f t="shared" si="30"/>
        <v>299.79000000000002</v>
      </c>
      <c r="H976" s="1" t="str">
        <f>_xlfn.XLOOKUP(C976,Product!A:A,Product!B:B,"not found",0)</f>
        <v>Electra Girl's Hawaii 1 (20-inch) - 2015/2016</v>
      </c>
      <c r="I976" s="1">
        <f t="shared" si="31"/>
        <v>299.79000000000002</v>
      </c>
    </row>
    <row r="977" spans="1:9" x14ac:dyDescent="0.2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 s="1">
        <f t="shared" si="30"/>
        <v>269.89</v>
      </c>
      <c r="H977" s="1" t="str">
        <f>_xlfn.XLOOKUP(C977,Product!A:A,Product!B:B,"not found",0)</f>
        <v>Electra Cruiser 1 (24-Inch) - 2016</v>
      </c>
      <c r="I977" s="1">
        <f t="shared" si="31"/>
        <v>269.89</v>
      </c>
    </row>
    <row r="978" spans="1:9" x14ac:dyDescent="0.2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 s="1">
        <f t="shared" si="30"/>
        <v>529.94000000000005</v>
      </c>
      <c r="H978" s="1" t="str">
        <f>_xlfn.XLOOKUP(C978,Product!A:A,Product!B:B,"not found",0)</f>
        <v>Electra Moto 1 - 2016</v>
      </c>
      <c r="I978" s="1">
        <f t="shared" si="31"/>
        <v>529.94000000000005</v>
      </c>
    </row>
    <row r="979" spans="1:9" x14ac:dyDescent="0.2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 s="1">
        <f t="shared" si="30"/>
        <v>897.95</v>
      </c>
      <c r="H979" s="1" t="str">
        <f>_xlfn.XLOOKUP(C979,Product!A:A,Product!B:B,"not found",0)</f>
        <v>Pure Cycles Western 3-Speed - Women's - 2015/2016</v>
      </c>
      <c r="I979" s="1">
        <f t="shared" si="31"/>
        <v>897.95</v>
      </c>
    </row>
    <row r="980" spans="1:9" x14ac:dyDescent="0.2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 s="1">
        <f t="shared" si="30"/>
        <v>299.92</v>
      </c>
      <c r="H980" s="1" t="str">
        <f>_xlfn.XLOOKUP(C980,Product!A:A,Product!B:B,"not found",0)</f>
        <v>Electra Girl's Hawaii 1 (20-inch) - 2015/2016</v>
      </c>
      <c r="I980" s="1">
        <f t="shared" si="31"/>
        <v>299.92</v>
      </c>
    </row>
    <row r="981" spans="1:9" x14ac:dyDescent="0.2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 s="1">
        <f t="shared" si="30"/>
        <v>2641.93</v>
      </c>
      <c r="H981" s="1" t="str">
        <f>_xlfn.XLOOKUP(C981,Product!A:A,Product!B:B,"not found",0)</f>
        <v>Heller Shagamaw Frame - 2016</v>
      </c>
      <c r="I981" s="1">
        <f t="shared" si="31"/>
        <v>2641.93</v>
      </c>
    </row>
    <row r="982" spans="1:9" x14ac:dyDescent="0.2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 s="1">
        <f t="shared" si="30"/>
        <v>1059.9100000000001</v>
      </c>
      <c r="H982" s="1" t="str">
        <f>_xlfn.XLOOKUP(C982,Product!A:A,Product!B:B,"not found",0)</f>
        <v>Electra Moto 1 - 2016</v>
      </c>
      <c r="I982" s="1">
        <f t="shared" si="31"/>
        <v>1059.9100000000001</v>
      </c>
    </row>
    <row r="983" spans="1:9" x14ac:dyDescent="0.2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 s="1">
        <f t="shared" si="30"/>
        <v>1199.78</v>
      </c>
      <c r="H983" s="1" t="str">
        <f>_xlfn.XLOOKUP(C983,Product!A:A,Product!B:B,"not found",0)</f>
        <v>Electra Townie Original 7D EQ - Women's - 2016</v>
      </c>
      <c r="I983" s="1">
        <f t="shared" si="31"/>
        <v>1199.78</v>
      </c>
    </row>
    <row r="984" spans="1:9" x14ac:dyDescent="0.2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 s="1">
        <f t="shared" si="30"/>
        <v>939.93000000000006</v>
      </c>
      <c r="H984" s="1" t="str">
        <f>_xlfn.XLOOKUP(C984,Product!A:A,Product!B:B,"not found",0)</f>
        <v>Surly Ice Cream Truck Frameset - 2016</v>
      </c>
      <c r="I984" s="1">
        <f t="shared" si="31"/>
        <v>939.93000000000006</v>
      </c>
    </row>
    <row r="985" spans="1:9" x14ac:dyDescent="0.2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 s="1">
        <f t="shared" si="30"/>
        <v>599.91999999999996</v>
      </c>
      <c r="H985" s="1" t="str">
        <f>_xlfn.XLOOKUP(C985,Product!A:A,Product!B:B,"not found",0)</f>
        <v>Electra Townie Original 7D EQ - Women's - 2016</v>
      </c>
      <c r="I985" s="1">
        <f t="shared" si="31"/>
        <v>599.91999999999996</v>
      </c>
    </row>
    <row r="986" spans="1:9" x14ac:dyDescent="0.2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 s="1">
        <f t="shared" si="30"/>
        <v>999.92</v>
      </c>
      <c r="H986" s="1" t="str">
        <f>_xlfn.XLOOKUP(C986,Product!A:A,Product!B:B,"not found",0)</f>
        <v>Surly Wednesday Frameset - 2016</v>
      </c>
      <c r="I986" s="1">
        <f t="shared" si="31"/>
        <v>999.92</v>
      </c>
    </row>
    <row r="987" spans="1:9" x14ac:dyDescent="0.2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 s="1">
        <f t="shared" si="30"/>
        <v>5799.9299999999994</v>
      </c>
      <c r="H987" s="1" t="str">
        <f>_xlfn.XLOOKUP(C987,Product!A:A,Product!B:B,"not found",0)</f>
        <v>Trek Fuel EX 8 29 - 2016</v>
      </c>
      <c r="I987" s="1">
        <f t="shared" si="31"/>
        <v>5799.9299999999994</v>
      </c>
    </row>
    <row r="988" spans="1:9" x14ac:dyDescent="0.2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 s="1">
        <f t="shared" si="30"/>
        <v>1099.8800000000001</v>
      </c>
      <c r="H988" s="1" t="str">
        <f>_xlfn.XLOOKUP(C988,Product!A:A,Product!B:B,"not found",0)</f>
        <v>Electra Townie Original 21D - 2016</v>
      </c>
      <c r="I988" s="1">
        <f t="shared" si="31"/>
        <v>1099.8800000000001</v>
      </c>
    </row>
    <row r="989" spans="1:9" x14ac:dyDescent="0.2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 s="1">
        <f t="shared" si="30"/>
        <v>599.79</v>
      </c>
      <c r="H989" s="1" t="str">
        <f>_xlfn.XLOOKUP(C989,Product!A:A,Product!B:B,"not found",0)</f>
        <v>Electra Townie Original 7D EQ - Women's - 2016</v>
      </c>
      <c r="I989" s="1">
        <f t="shared" si="31"/>
        <v>599.79</v>
      </c>
    </row>
    <row r="990" spans="1:9" x14ac:dyDescent="0.2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 s="1">
        <f t="shared" si="30"/>
        <v>539.91</v>
      </c>
      <c r="H990" s="1" t="str">
        <f>_xlfn.XLOOKUP(C990,Product!A:A,Product!B:B,"not found",0)</f>
        <v>Electra Girl's Hawaii 1 (16-inch) - 2015/2016</v>
      </c>
      <c r="I990" s="1">
        <f t="shared" si="31"/>
        <v>539.91</v>
      </c>
    </row>
    <row r="991" spans="1:9" x14ac:dyDescent="0.2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 s="1">
        <f t="shared" si="30"/>
        <v>1680.79</v>
      </c>
      <c r="H991" s="1" t="str">
        <f>_xlfn.XLOOKUP(C991,Product!A:A,Product!B:B,"not found",0)</f>
        <v>Surly Straggler 650b - 2016</v>
      </c>
      <c r="I991" s="1">
        <f t="shared" si="31"/>
        <v>1680.79</v>
      </c>
    </row>
    <row r="992" spans="1:9" x14ac:dyDescent="0.2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 s="1">
        <f t="shared" si="30"/>
        <v>269.79000000000002</v>
      </c>
      <c r="H992" s="1" t="str">
        <f>_xlfn.XLOOKUP(C992,Product!A:A,Product!B:B,"not found",0)</f>
        <v>Electra Girl's Hawaii 1 (16-inch) - 2015/2016</v>
      </c>
      <c r="I992" s="1">
        <f t="shared" si="31"/>
        <v>269.79000000000002</v>
      </c>
    </row>
    <row r="993" spans="1:9" x14ac:dyDescent="0.2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 s="1">
        <f t="shared" si="30"/>
        <v>1499.78</v>
      </c>
      <c r="H993" s="1" t="str">
        <f>_xlfn.XLOOKUP(C993,Product!A:A,Product!B:B,"not found",0)</f>
        <v>Ritchey Timberwolf Frameset - 2016</v>
      </c>
      <c r="I993" s="1">
        <f t="shared" si="31"/>
        <v>1499.78</v>
      </c>
    </row>
    <row r="994" spans="1:9" x14ac:dyDescent="0.2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 s="1">
        <f t="shared" si="30"/>
        <v>269.79000000000002</v>
      </c>
      <c r="H994" s="1" t="str">
        <f>_xlfn.XLOOKUP(C994,Product!A:A,Product!B:B,"not found",0)</f>
        <v>Electra Cruiser 1 (24-Inch) - 2016</v>
      </c>
      <c r="I994" s="1">
        <f t="shared" si="31"/>
        <v>269.79000000000002</v>
      </c>
    </row>
    <row r="995" spans="1:9" x14ac:dyDescent="0.2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 s="1">
        <f t="shared" si="30"/>
        <v>448.95</v>
      </c>
      <c r="H995" s="1" t="str">
        <f>_xlfn.XLOOKUP(C995,Product!A:A,Product!B:B,"not found",0)</f>
        <v>Pure Cycles William 3-Speed - 2016</v>
      </c>
      <c r="I995" s="1">
        <f t="shared" si="31"/>
        <v>448.95</v>
      </c>
    </row>
    <row r="996" spans="1:9" x14ac:dyDescent="0.2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 s="1">
        <f t="shared" si="30"/>
        <v>599.89</v>
      </c>
      <c r="H996" s="1" t="str">
        <f>_xlfn.XLOOKUP(C996,Product!A:A,Product!B:B,"not found",0)</f>
        <v>Electra Townie Original 7D EQ - 2016</v>
      </c>
      <c r="I996" s="1">
        <f t="shared" si="31"/>
        <v>599.89</v>
      </c>
    </row>
    <row r="997" spans="1:9" x14ac:dyDescent="0.2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 s="1">
        <f t="shared" si="30"/>
        <v>539.91</v>
      </c>
      <c r="H997" s="1" t="str">
        <f>_xlfn.XLOOKUP(C997,Product!A:A,Product!B:B,"not found",0)</f>
        <v>Electra Girl's Hawaii 1 (16-inch) - 2015/2016</v>
      </c>
      <c r="I997" s="1">
        <f t="shared" si="31"/>
        <v>539.91</v>
      </c>
    </row>
    <row r="998" spans="1:9" x14ac:dyDescent="0.2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 s="1">
        <f t="shared" si="30"/>
        <v>599.93000000000006</v>
      </c>
      <c r="H998" s="1" t="str">
        <f>_xlfn.XLOOKUP(C998,Product!A:A,Product!B:B,"not found",0)</f>
        <v>Electra Girl's Hawaii 1 (20-inch) - 2015/2016</v>
      </c>
      <c r="I998" s="1">
        <f t="shared" si="31"/>
        <v>599.93000000000006</v>
      </c>
    </row>
    <row r="999" spans="1:9" x14ac:dyDescent="0.2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 s="1">
        <f t="shared" si="30"/>
        <v>2899.9399999999996</v>
      </c>
      <c r="H999" s="1" t="str">
        <f>_xlfn.XLOOKUP(C999,Product!A:A,Product!B:B,"not found",0)</f>
        <v>Trek Fuel EX 8 29 - 2016</v>
      </c>
      <c r="I999" s="1">
        <f t="shared" si="31"/>
        <v>2899.9399999999996</v>
      </c>
    </row>
    <row r="1000" spans="1:9" x14ac:dyDescent="0.2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 s="1">
        <f t="shared" si="30"/>
        <v>269.94</v>
      </c>
      <c r="H1000" s="1" t="str">
        <f>_xlfn.XLOOKUP(C1000,Product!A:A,Product!B:B,"not found",0)</f>
        <v>Electra Cruiser 1 (24-Inch) - 2016</v>
      </c>
      <c r="I1000" s="1">
        <f t="shared" si="31"/>
        <v>269.94</v>
      </c>
    </row>
    <row r="1001" spans="1:9" x14ac:dyDescent="0.2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 s="1">
        <f t="shared" si="30"/>
        <v>857.95</v>
      </c>
      <c r="H1001" s="1" t="str">
        <f>_xlfn.XLOOKUP(C1001,Product!A:A,Product!B:B,"not found",0)</f>
        <v>Pure Cycles Vine 8-Speed - 2016</v>
      </c>
      <c r="I1001" s="1">
        <f t="shared" si="31"/>
        <v>857.95</v>
      </c>
    </row>
    <row r="1002" spans="1:9" x14ac:dyDescent="0.2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 s="1">
        <f t="shared" si="30"/>
        <v>539.91</v>
      </c>
      <c r="H1002" s="1" t="str">
        <f>_xlfn.XLOOKUP(C1002,Product!A:A,Product!B:B,"not found",0)</f>
        <v>Electra Cruiser 1 (24-Inch) - 2016</v>
      </c>
      <c r="I1002" s="1">
        <f t="shared" si="31"/>
        <v>539.91</v>
      </c>
    </row>
    <row r="1003" spans="1:9" x14ac:dyDescent="0.2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 s="1">
        <f t="shared" si="30"/>
        <v>549.91999999999996</v>
      </c>
      <c r="H1003" s="1" t="str">
        <f>_xlfn.XLOOKUP(C1003,Product!A:A,Product!B:B,"not found",0)</f>
        <v>Electra Townie Original 21D - 2016</v>
      </c>
      <c r="I1003" s="1">
        <f t="shared" si="31"/>
        <v>549.91999999999996</v>
      </c>
    </row>
    <row r="1004" spans="1:9" x14ac:dyDescent="0.2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 s="1">
        <f t="shared" si="30"/>
        <v>2999.9399999999996</v>
      </c>
      <c r="H1004" s="1" t="str">
        <f>_xlfn.XLOOKUP(C1004,Product!A:A,Product!B:B,"not found",0)</f>
        <v>Trek Conduit+ - 2016</v>
      </c>
      <c r="I1004" s="1">
        <f t="shared" si="31"/>
        <v>2999.9399999999996</v>
      </c>
    </row>
    <row r="1005" spans="1:9" x14ac:dyDescent="0.2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 s="1">
        <f t="shared" si="30"/>
        <v>539.88</v>
      </c>
      <c r="H1005" s="1" t="str">
        <f>_xlfn.XLOOKUP(C1005,Product!A:A,Product!B:B,"not found",0)</f>
        <v>Electra Cruiser 1 (24-Inch) - 2016</v>
      </c>
      <c r="I1005" s="1">
        <f t="shared" si="31"/>
        <v>539.88</v>
      </c>
    </row>
    <row r="1006" spans="1:9" x14ac:dyDescent="0.2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 s="1">
        <f t="shared" si="30"/>
        <v>939.91</v>
      </c>
      <c r="H1006" s="1" t="str">
        <f>_xlfn.XLOOKUP(C1006,Product!A:A,Product!B:B,"not found",0)</f>
        <v>Surly Ice Cream Truck Frameset - 2016</v>
      </c>
      <c r="I1006" s="1">
        <f t="shared" si="31"/>
        <v>939.91</v>
      </c>
    </row>
    <row r="1007" spans="1:9" x14ac:dyDescent="0.2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 s="1">
        <f t="shared" si="30"/>
        <v>3599.93</v>
      </c>
      <c r="H1007" s="1" t="str">
        <f>_xlfn.XLOOKUP(C1007,Product!A:A,Product!B:B,"not found",0)</f>
        <v>Trek Remedy 29 Carbon Frameset - 2016</v>
      </c>
      <c r="I1007" s="1">
        <f t="shared" si="31"/>
        <v>3599.93</v>
      </c>
    </row>
    <row r="1008" spans="1:9" x14ac:dyDescent="0.2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 s="1">
        <f t="shared" si="30"/>
        <v>897.9</v>
      </c>
      <c r="H1008" s="1" t="str">
        <f>_xlfn.XLOOKUP(C1008,Product!A:A,Product!B:B,"not found",0)</f>
        <v>Pure Cycles Western 3-Speed - Women's - 2015/2016</v>
      </c>
      <c r="I1008" s="1">
        <f t="shared" si="31"/>
        <v>897.9</v>
      </c>
    </row>
    <row r="1009" spans="1:9" x14ac:dyDescent="0.2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 s="1">
        <f t="shared" si="30"/>
        <v>1059.9100000000001</v>
      </c>
      <c r="H1009" s="1" t="str">
        <f>_xlfn.XLOOKUP(C1009,Product!A:A,Product!B:B,"not found",0)</f>
        <v>Electra Moto 1 - 2016</v>
      </c>
      <c r="I1009" s="1">
        <f t="shared" si="31"/>
        <v>1059.9100000000001</v>
      </c>
    </row>
    <row r="1010" spans="1:9" x14ac:dyDescent="0.2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 s="1">
        <f t="shared" si="30"/>
        <v>5999.91</v>
      </c>
      <c r="H1010" s="1" t="str">
        <f>_xlfn.XLOOKUP(C1010,Product!A:A,Product!B:B,"not found",0)</f>
        <v>Trek Conduit+ - 2016</v>
      </c>
      <c r="I1010" s="1">
        <f t="shared" si="31"/>
        <v>5999.91</v>
      </c>
    </row>
    <row r="1011" spans="1:9" x14ac:dyDescent="0.2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 s="1">
        <f t="shared" si="30"/>
        <v>7999.78</v>
      </c>
      <c r="H1011" s="1" t="str">
        <f>_xlfn.XLOOKUP(C1011,Product!A:A,Product!B:B,"not found",0)</f>
        <v>Trek Slash 8 27.5 - 2016</v>
      </c>
      <c r="I1011" s="1">
        <f t="shared" si="31"/>
        <v>7999.78</v>
      </c>
    </row>
    <row r="1012" spans="1:9" x14ac:dyDescent="0.2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 s="1">
        <f t="shared" si="30"/>
        <v>599.94000000000005</v>
      </c>
      <c r="H1012" s="1" t="str">
        <f>_xlfn.XLOOKUP(C1012,Product!A:A,Product!B:B,"not found",0)</f>
        <v>Electra Townie Original 7D EQ - 2016</v>
      </c>
      <c r="I1012" s="1">
        <f t="shared" si="31"/>
        <v>599.94000000000005</v>
      </c>
    </row>
    <row r="1013" spans="1:9" x14ac:dyDescent="0.2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 s="1">
        <f t="shared" si="30"/>
        <v>7999.78</v>
      </c>
      <c r="H1013" s="1" t="str">
        <f>_xlfn.XLOOKUP(C1013,Product!A:A,Product!B:B,"not found",0)</f>
        <v>Trek Slash 8 27.5 - 2016</v>
      </c>
      <c r="I1013" s="1">
        <f t="shared" si="31"/>
        <v>7999.78</v>
      </c>
    </row>
    <row r="1014" spans="1:9" x14ac:dyDescent="0.2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 s="1">
        <f t="shared" si="30"/>
        <v>539.93000000000006</v>
      </c>
      <c r="H1014" s="1" t="str">
        <f>_xlfn.XLOOKUP(C1014,Product!A:A,Product!B:B,"not found",0)</f>
        <v>Electra Cruiser 1 (24-Inch) - 2016</v>
      </c>
      <c r="I1014" s="1">
        <f t="shared" si="31"/>
        <v>539.93000000000006</v>
      </c>
    </row>
    <row r="1015" spans="1:9" x14ac:dyDescent="0.2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 s="1">
        <f t="shared" si="30"/>
        <v>499.89</v>
      </c>
      <c r="H1015" s="1" t="str">
        <f>_xlfn.XLOOKUP(C1015,Product!A:A,Product!B:B,"not found",0)</f>
        <v>Electra Townie Original 7D - 2015/2016</v>
      </c>
      <c r="I1015" s="1">
        <f t="shared" si="31"/>
        <v>499.89</v>
      </c>
    </row>
    <row r="1016" spans="1:9" x14ac:dyDescent="0.2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 s="1">
        <f t="shared" si="30"/>
        <v>1099.93</v>
      </c>
      <c r="H1016" s="1" t="str">
        <f>_xlfn.XLOOKUP(C1016,Product!A:A,Product!B:B,"not found",0)</f>
        <v>Electra Townie Original 21D - 2016</v>
      </c>
      <c r="I1016" s="1">
        <f t="shared" si="31"/>
        <v>1099.93</v>
      </c>
    </row>
    <row r="1017" spans="1:9" x14ac:dyDescent="0.2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 s="1">
        <f t="shared" si="30"/>
        <v>939.88</v>
      </c>
      <c r="H1017" s="1" t="str">
        <f>_xlfn.XLOOKUP(C1017,Product!A:A,Product!B:B,"not found",0)</f>
        <v>Surly Ice Cream Truck Frameset - 2016</v>
      </c>
      <c r="I1017" s="1">
        <f t="shared" si="31"/>
        <v>939.88</v>
      </c>
    </row>
    <row r="1018" spans="1:9" x14ac:dyDescent="0.2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 s="1">
        <f t="shared" si="30"/>
        <v>1680.89</v>
      </c>
      <c r="H1018" s="1" t="str">
        <f>_xlfn.XLOOKUP(C1018,Product!A:A,Product!B:B,"not found",0)</f>
        <v>Surly Straggler 650b - 2016</v>
      </c>
      <c r="I1018" s="1">
        <f t="shared" si="31"/>
        <v>1680.89</v>
      </c>
    </row>
    <row r="1019" spans="1:9" x14ac:dyDescent="0.2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 s="1">
        <f t="shared" si="30"/>
        <v>749.92</v>
      </c>
      <c r="H1019" s="1" t="str">
        <f>_xlfn.XLOOKUP(C1019,Product!A:A,Product!B:B,"not found",0)</f>
        <v>Ritchey Timberwolf Frameset - 2016</v>
      </c>
      <c r="I1019" s="1">
        <f t="shared" si="31"/>
        <v>749.92</v>
      </c>
    </row>
    <row r="1020" spans="1:9" x14ac:dyDescent="0.2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 s="1">
        <f t="shared" si="30"/>
        <v>539.88</v>
      </c>
      <c r="H1020" s="1" t="str">
        <f>_xlfn.XLOOKUP(C1020,Product!A:A,Product!B:B,"not found",0)</f>
        <v>Electra Cruiser 1 (24-Inch) - 2016</v>
      </c>
      <c r="I1020" s="1">
        <f t="shared" si="31"/>
        <v>539.88</v>
      </c>
    </row>
    <row r="1021" spans="1:9" x14ac:dyDescent="0.2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 s="1">
        <f t="shared" si="30"/>
        <v>269.92</v>
      </c>
      <c r="H1021" s="1" t="str">
        <f>_xlfn.XLOOKUP(C1021,Product!A:A,Product!B:B,"not found",0)</f>
        <v>Electra Girl's Hawaii 1 (16-inch) - 2015/2016</v>
      </c>
      <c r="I1021" s="1">
        <f t="shared" si="31"/>
        <v>269.92</v>
      </c>
    </row>
    <row r="1022" spans="1:9" x14ac:dyDescent="0.2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 s="1">
        <f t="shared" si="30"/>
        <v>529.89</v>
      </c>
      <c r="H1022" s="1" t="str">
        <f>_xlfn.XLOOKUP(C1022,Product!A:A,Product!B:B,"not found",0)</f>
        <v>Electra Moto 1 - 2016</v>
      </c>
      <c r="I1022" s="1">
        <f t="shared" si="31"/>
        <v>529.89</v>
      </c>
    </row>
    <row r="1023" spans="1:9" x14ac:dyDescent="0.2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 s="1">
        <f t="shared" si="30"/>
        <v>599.79</v>
      </c>
      <c r="H1023" s="1" t="str">
        <f>_xlfn.XLOOKUP(C1023,Product!A:A,Product!B:B,"not found",0)</f>
        <v>Electra Townie Original 7D EQ - Women's - 2016</v>
      </c>
      <c r="I1023" s="1">
        <f t="shared" si="31"/>
        <v>599.79</v>
      </c>
    </row>
    <row r="1024" spans="1:9" x14ac:dyDescent="0.2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 s="1">
        <f t="shared" si="30"/>
        <v>999.93000000000006</v>
      </c>
      <c r="H1024" s="1" t="str">
        <f>_xlfn.XLOOKUP(C1024,Product!A:A,Product!B:B,"not found",0)</f>
        <v>Electra Townie Original 7D - 2015/2016</v>
      </c>
      <c r="I1024" s="1">
        <f t="shared" si="31"/>
        <v>999.93000000000006</v>
      </c>
    </row>
    <row r="1025" spans="1:9" x14ac:dyDescent="0.2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 s="1">
        <f t="shared" si="30"/>
        <v>1099.9100000000001</v>
      </c>
      <c r="H1025" s="1" t="str">
        <f>_xlfn.XLOOKUP(C1025,Product!A:A,Product!B:B,"not found",0)</f>
        <v>Electra Townie Original 21D - 2016</v>
      </c>
      <c r="I1025" s="1">
        <f t="shared" si="31"/>
        <v>1099.9100000000001</v>
      </c>
    </row>
    <row r="1026" spans="1:9" x14ac:dyDescent="0.2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 s="1">
        <f t="shared" si="30"/>
        <v>269.89</v>
      </c>
      <c r="H1026" s="1" t="str">
        <f>_xlfn.XLOOKUP(C1026,Product!A:A,Product!B:B,"not found",0)</f>
        <v>Electra Cruiser 1 (24-Inch) - 2016</v>
      </c>
      <c r="I1026" s="1">
        <f t="shared" si="31"/>
        <v>269.89</v>
      </c>
    </row>
    <row r="1027" spans="1:9" x14ac:dyDescent="0.2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 s="1">
        <f t="shared" ref="G1027:G1090" si="32">(E1027*D1027)-F1027</f>
        <v>2899.9199999999996</v>
      </c>
      <c r="H1027" s="1" t="str">
        <f>_xlfn.XLOOKUP(C1027,Product!A:A,Product!B:B,"not found",0)</f>
        <v>Trek Fuel EX 8 29 - 2016</v>
      </c>
      <c r="I1027" s="1">
        <f t="shared" ref="I1027:I1090" si="33">(D1027*E1027)-F1027</f>
        <v>2899.9199999999996</v>
      </c>
    </row>
    <row r="1028" spans="1:9" x14ac:dyDescent="0.2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 s="1">
        <f t="shared" si="32"/>
        <v>1199.78</v>
      </c>
      <c r="H1028" s="1" t="str">
        <f>_xlfn.XLOOKUP(C1028,Product!A:A,Product!B:B,"not found",0)</f>
        <v>Electra Townie Original 7D EQ - 2016</v>
      </c>
      <c r="I1028" s="1">
        <f t="shared" si="33"/>
        <v>1199.78</v>
      </c>
    </row>
    <row r="1029" spans="1:9" x14ac:dyDescent="0.2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 s="1">
        <f t="shared" si="32"/>
        <v>1199.8800000000001</v>
      </c>
      <c r="H1029" s="1" t="str">
        <f>_xlfn.XLOOKUP(C1029,Product!A:A,Product!B:B,"not found",0)</f>
        <v>Electra Townie Original 7D EQ - 2016</v>
      </c>
      <c r="I1029" s="1">
        <f t="shared" si="33"/>
        <v>1199.8800000000001</v>
      </c>
    </row>
    <row r="1030" spans="1:9" x14ac:dyDescent="0.2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 s="1">
        <f t="shared" si="32"/>
        <v>269.94</v>
      </c>
      <c r="H1030" s="1" t="str">
        <f>_xlfn.XLOOKUP(C1030,Product!A:A,Product!B:B,"not found",0)</f>
        <v>Electra Girl's Hawaii 1 (16-inch) - 2015/2016</v>
      </c>
      <c r="I1030" s="1">
        <f t="shared" si="33"/>
        <v>269.94</v>
      </c>
    </row>
    <row r="1031" spans="1:9" x14ac:dyDescent="0.2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 s="1">
        <f t="shared" si="32"/>
        <v>3097.95</v>
      </c>
      <c r="H1031" s="1" t="str">
        <f>_xlfn.XLOOKUP(C1031,Product!A:A,Product!B:B,"not found",0)</f>
        <v>Surly Straggler - 2016</v>
      </c>
      <c r="I1031" s="1">
        <f t="shared" si="33"/>
        <v>3097.95</v>
      </c>
    </row>
    <row r="1032" spans="1:9" x14ac:dyDescent="0.2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 s="1">
        <f t="shared" si="32"/>
        <v>1320.79</v>
      </c>
      <c r="H1032" s="1" t="str">
        <f>_xlfn.XLOOKUP(C1032,Product!A:A,Product!B:B,"not found",0)</f>
        <v>Heller Shagamaw Frame - 2016</v>
      </c>
      <c r="I1032" s="1">
        <f t="shared" si="33"/>
        <v>1320.79</v>
      </c>
    </row>
    <row r="1033" spans="1:9" x14ac:dyDescent="0.2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 s="1">
        <f t="shared" si="32"/>
        <v>3097.8</v>
      </c>
      <c r="H1033" s="1" t="str">
        <f>_xlfn.XLOOKUP(C1033,Product!A:A,Product!B:B,"not found",0)</f>
        <v>Surly Straggler - 2016</v>
      </c>
      <c r="I1033" s="1">
        <f t="shared" si="33"/>
        <v>3097.8</v>
      </c>
    </row>
    <row r="1034" spans="1:9" x14ac:dyDescent="0.2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 s="1">
        <f t="shared" si="32"/>
        <v>539.88</v>
      </c>
      <c r="H1034" s="1" t="str">
        <f>_xlfn.XLOOKUP(C1034,Product!A:A,Product!B:B,"not found",0)</f>
        <v>Electra Cruiser 1 (24-Inch) - 2016</v>
      </c>
      <c r="I1034" s="1">
        <f t="shared" si="33"/>
        <v>539.88</v>
      </c>
    </row>
    <row r="1035" spans="1:9" x14ac:dyDescent="0.2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 s="1">
        <f t="shared" si="32"/>
        <v>448.95</v>
      </c>
      <c r="H1035" s="1" t="str">
        <f>_xlfn.XLOOKUP(C1035,Product!A:A,Product!B:B,"not found",0)</f>
        <v>Pure Cycles William 3-Speed - 2016</v>
      </c>
      <c r="I1035" s="1">
        <f t="shared" si="33"/>
        <v>448.95</v>
      </c>
    </row>
    <row r="1036" spans="1:9" x14ac:dyDescent="0.2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 s="1">
        <f t="shared" si="32"/>
        <v>3097.93</v>
      </c>
      <c r="H1036" s="1" t="str">
        <f>_xlfn.XLOOKUP(C1036,Product!A:A,Product!B:B,"not found",0)</f>
        <v>Surly Straggler - 2016</v>
      </c>
      <c r="I1036" s="1">
        <f t="shared" si="33"/>
        <v>3097.93</v>
      </c>
    </row>
    <row r="1037" spans="1:9" x14ac:dyDescent="0.2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 s="1">
        <f t="shared" si="32"/>
        <v>999.93000000000006</v>
      </c>
      <c r="H1037" s="1" t="str">
        <f>_xlfn.XLOOKUP(C1037,Product!A:A,Product!B:B,"not found",0)</f>
        <v>Electra Townie Original 7D - 2015/2016</v>
      </c>
      <c r="I1037" s="1">
        <f t="shared" si="33"/>
        <v>999.93000000000006</v>
      </c>
    </row>
    <row r="1038" spans="1:9" x14ac:dyDescent="0.2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 s="1">
        <f t="shared" si="32"/>
        <v>5799.8799999999992</v>
      </c>
      <c r="H1038" s="1" t="str">
        <f>_xlfn.XLOOKUP(C1038,Product!A:A,Product!B:B,"not found",0)</f>
        <v>Trek Fuel EX 8 29 - 2016</v>
      </c>
      <c r="I1038" s="1">
        <f t="shared" si="33"/>
        <v>5799.8799999999992</v>
      </c>
    </row>
    <row r="1039" spans="1:9" x14ac:dyDescent="0.2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 s="1">
        <f t="shared" si="32"/>
        <v>269.79000000000002</v>
      </c>
      <c r="H1039" s="1" t="str">
        <f>_xlfn.XLOOKUP(C1039,Product!A:A,Product!B:B,"not found",0)</f>
        <v>Electra Girl's Hawaii 1 (16-inch) - 2015/2016</v>
      </c>
      <c r="I1039" s="1">
        <f t="shared" si="33"/>
        <v>269.79000000000002</v>
      </c>
    </row>
    <row r="1040" spans="1:9" x14ac:dyDescent="0.2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 s="1">
        <f t="shared" si="32"/>
        <v>549.79</v>
      </c>
      <c r="H1040" s="1" t="str">
        <f>_xlfn.XLOOKUP(C1040,Product!A:A,Product!B:B,"not found",0)</f>
        <v>Electra Townie Original 21D - 2016</v>
      </c>
      <c r="I1040" s="1">
        <f t="shared" si="33"/>
        <v>549.79</v>
      </c>
    </row>
    <row r="1041" spans="1:9" x14ac:dyDescent="0.2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 s="1">
        <f t="shared" si="32"/>
        <v>1680.94</v>
      </c>
      <c r="H1041" s="1" t="str">
        <f>_xlfn.XLOOKUP(C1041,Product!A:A,Product!B:B,"not found",0)</f>
        <v>Surly Straggler 650b - 2016</v>
      </c>
      <c r="I1041" s="1">
        <f t="shared" si="33"/>
        <v>1680.94</v>
      </c>
    </row>
    <row r="1042" spans="1:9" x14ac:dyDescent="0.2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 s="1">
        <f t="shared" si="32"/>
        <v>539.88</v>
      </c>
      <c r="H1042" s="1" t="str">
        <f>_xlfn.XLOOKUP(C1042,Product!A:A,Product!B:B,"not found",0)</f>
        <v>Electra Girl's Hawaii 1 (16-inch) - 2015/2016</v>
      </c>
      <c r="I1042" s="1">
        <f t="shared" si="33"/>
        <v>539.88</v>
      </c>
    </row>
    <row r="1043" spans="1:9" x14ac:dyDescent="0.2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 s="1">
        <f t="shared" si="32"/>
        <v>1320.89</v>
      </c>
      <c r="H1043" s="1" t="str">
        <f>_xlfn.XLOOKUP(C1043,Product!A:A,Product!B:B,"not found",0)</f>
        <v>Heller Shagamaw Frame - 2016</v>
      </c>
      <c r="I1043" s="1">
        <f t="shared" si="33"/>
        <v>1320.89</v>
      </c>
    </row>
    <row r="1044" spans="1:9" x14ac:dyDescent="0.2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 s="1">
        <f t="shared" si="32"/>
        <v>3599.93</v>
      </c>
      <c r="H1044" s="1" t="str">
        <f>_xlfn.XLOOKUP(C1044,Product!A:A,Product!B:B,"not found",0)</f>
        <v>Trek Remedy 29 Carbon Frameset - 2016</v>
      </c>
      <c r="I1044" s="1">
        <f t="shared" si="33"/>
        <v>3599.93</v>
      </c>
    </row>
    <row r="1045" spans="1:9" x14ac:dyDescent="0.2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 s="1">
        <f t="shared" si="32"/>
        <v>269.89</v>
      </c>
      <c r="H1045" s="1" t="str">
        <f>_xlfn.XLOOKUP(C1045,Product!A:A,Product!B:B,"not found",0)</f>
        <v>Electra Girl's Hawaii 1 (16-inch) - 2015/2016</v>
      </c>
      <c r="I1045" s="1">
        <f t="shared" si="33"/>
        <v>269.89</v>
      </c>
    </row>
    <row r="1046" spans="1:9" x14ac:dyDescent="0.2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 s="1">
        <f t="shared" si="32"/>
        <v>897.8</v>
      </c>
      <c r="H1046" s="1" t="str">
        <f>_xlfn.XLOOKUP(C1046,Product!A:A,Product!B:B,"not found",0)</f>
        <v>Pure Cycles William 3-Speed - 2016</v>
      </c>
      <c r="I1046" s="1">
        <f t="shared" si="33"/>
        <v>897.8</v>
      </c>
    </row>
    <row r="1047" spans="1:9" x14ac:dyDescent="0.2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 s="1">
        <f t="shared" si="32"/>
        <v>549.89</v>
      </c>
      <c r="H1047" s="1" t="str">
        <f>_xlfn.XLOOKUP(C1047,Product!A:A,Product!B:B,"not found",0)</f>
        <v>Electra Townie Original 21D - 2016</v>
      </c>
      <c r="I1047" s="1">
        <f t="shared" si="33"/>
        <v>549.89</v>
      </c>
    </row>
    <row r="1048" spans="1:9" x14ac:dyDescent="0.2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 s="1">
        <f t="shared" si="32"/>
        <v>269.89</v>
      </c>
      <c r="H1048" s="1" t="str">
        <f>_xlfn.XLOOKUP(C1048,Product!A:A,Product!B:B,"not found",0)</f>
        <v>Electra Cruiser 1 (24-Inch) - 2016</v>
      </c>
      <c r="I1048" s="1">
        <f t="shared" si="33"/>
        <v>269.89</v>
      </c>
    </row>
    <row r="1049" spans="1:9" x14ac:dyDescent="0.2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 s="1">
        <f t="shared" si="32"/>
        <v>1548.9</v>
      </c>
      <c r="H1049" s="1" t="str">
        <f>_xlfn.XLOOKUP(C1049,Product!A:A,Product!B:B,"not found",0)</f>
        <v>Surly Straggler - 2016</v>
      </c>
      <c r="I1049" s="1">
        <f t="shared" si="33"/>
        <v>1548.9</v>
      </c>
    </row>
    <row r="1050" spans="1:9" x14ac:dyDescent="0.2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 s="1">
        <f t="shared" si="32"/>
        <v>3999.9199999999996</v>
      </c>
      <c r="H1050" s="1" t="str">
        <f>_xlfn.XLOOKUP(C1050,Product!A:A,Product!B:B,"not found",0)</f>
        <v>Trek Slash 8 27.5 - 2016</v>
      </c>
      <c r="I1050" s="1">
        <f t="shared" si="33"/>
        <v>3999.9199999999996</v>
      </c>
    </row>
    <row r="1051" spans="1:9" x14ac:dyDescent="0.2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 s="1">
        <f t="shared" si="32"/>
        <v>539.93000000000006</v>
      </c>
      <c r="H1051" s="1" t="str">
        <f>_xlfn.XLOOKUP(C1051,Product!A:A,Product!B:B,"not found",0)</f>
        <v>Electra Cruiser 1 (24-Inch) - 2016</v>
      </c>
      <c r="I1051" s="1">
        <f t="shared" si="33"/>
        <v>539.93000000000006</v>
      </c>
    </row>
    <row r="1052" spans="1:9" x14ac:dyDescent="0.2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 s="1">
        <f t="shared" si="32"/>
        <v>1499.93</v>
      </c>
      <c r="H1052" s="1" t="str">
        <f>_xlfn.XLOOKUP(C1052,Product!A:A,Product!B:B,"not found",0)</f>
        <v>Ritchey Timberwolf Frameset - 2016</v>
      </c>
      <c r="I1052" s="1">
        <f t="shared" si="33"/>
        <v>1499.93</v>
      </c>
    </row>
    <row r="1053" spans="1:9" x14ac:dyDescent="0.2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 s="1">
        <f t="shared" si="32"/>
        <v>5799.91</v>
      </c>
      <c r="H1053" s="1" t="str">
        <f>_xlfn.XLOOKUP(C1053,Product!A:A,Product!B:B,"not found",0)</f>
        <v>Trek Fuel EX 8 29 - 2016</v>
      </c>
      <c r="I1053" s="1">
        <f t="shared" si="33"/>
        <v>5799.91</v>
      </c>
    </row>
    <row r="1054" spans="1:9" x14ac:dyDescent="0.2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 s="1">
        <f t="shared" si="32"/>
        <v>1099.93</v>
      </c>
      <c r="H1054" s="1" t="str">
        <f>_xlfn.XLOOKUP(C1054,Product!A:A,Product!B:B,"not found",0)</f>
        <v>Electra Townie Original 21D - 2016</v>
      </c>
      <c r="I1054" s="1">
        <f t="shared" si="33"/>
        <v>1099.93</v>
      </c>
    </row>
    <row r="1055" spans="1:9" x14ac:dyDescent="0.2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 s="1">
        <f t="shared" si="32"/>
        <v>1499.91</v>
      </c>
      <c r="H1055" s="1" t="str">
        <f>_xlfn.XLOOKUP(C1055,Product!A:A,Product!B:B,"not found",0)</f>
        <v>Ritchey Timberwolf Frameset - 2016</v>
      </c>
      <c r="I1055" s="1">
        <f t="shared" si="33"/>
        <v>1499.91</v>
      </c>
    </row>
    <row r="1056" spans="1:9" x14ac:dyDescent="0.2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 s="1">
        <f t="shared" si="32"/>
        <v>599.88</v>
      </c>
      <c r="H1056" s="1" t="str">
        <f>_xlfn.XLOOKUP(C1056,Product!A:A,Product!B:B,"not found",0)</f>
        <v>Electra Girl's Hawaii 1 (20-inch) - 2015/2016</v>
      </c>
      <c r="I1056" s="1">
        <f t="shared" si="33"/>
        <v>599.88</v>
      </c>
    </row>
    <row r="1057" spans="1:9" x14ac:dyDescent="0.2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 s="1">
        <f t="shared" si="32"/>
        <v>1799.94</v>
      </c>
      <c r="H1057" s="1" t="str">
        <f>_xlfn.XLOOKUP(C1057,Product!A:A,Product!B:B,"not found",0)</f>
        <v>Trek Remedy 29 Carbon Frameset - 2016</v>
      </c>
      <c r="I1057" s="1">
        <f t="shared" si="33"/>
        <v>1799.94</v>
      </c>
    </row>
    <row r="1058" spans="1:9" x14ac:dyDescent="0.2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 s="1">
        <f t="shared" si="32"/>
        <v>269.92</v>
      </c>
      <c r="H1058" s="1" t="str">
        <f>_xlfn.XLOOKUP(C1058,Product!A:A,Product!B:B,"not found",0)</f>
        <v>Electra Girl's Hawaii 1 (16-inch) - 2015/2016</v>
      </c>
      <c r="I1058" s="1">
        <f t="shared" si="33"/>
        <v>269.92</v>
      </c>
    </row>
    <row r="1059" spans="1:9" x14ac:dyDescent="0.2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 s="1">
        <f t="shared" si="32"/>
        <v>1199.93</v>
      </c>
      <c r="H1059" s="1" t="str">
        <f>_xlfn.XLOOKUP(C1059,Product!A:A,Product!B:B,"not found",0)</f>
        <v>Electra Townie Original 7D EQ - 2016</v>
      </c>
      <c r="I1059" s="1">
        <f t="shared" si="33"/>
        <v>1199.93</v>
      </c>
    </row>
    <row r="1060" spans="1:9" x14ac:dyDescent="0.2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 s="1">
        <f t="shared" si="32"/>
        <v>2999.9199999999996</v>
      </c>
      <c r="H1060" s="1" t="str">
        <f>_xlfn.XLOOKUP(C1060,Product!A:A,Product!B:B,"not found",0)</f>
        <v>Trek Conduit+ - 2016</v>
      </c>
      <c r="I1060" s="1">
        <f t="shared" si="33"/>
        <v>2999.9199999999996</v>
      </c>
    </row>
    <row r="1061" spans="1:9" x14ac:dyDescent="0.2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 s="1">
        <f t="shared" si="32"/>
        <v>599.79</v>
      </c>
      <c r="H1061" s="1" t="str">
        <f>_xlfn.XLOOKUP(C1061,Product!A:A,Product!B:B,"not found",0)</f>
        <v>Electra Townie Original 7D EQ - 2016</v>
      </c>
      <c r="I1061" s="1">
        <f t="shared" si="33"/>
        <v>599.79</v>
      </c>
    </row>
    <row r="1062" spans="1:9" x14ac:dyDescent="0.2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 s="1">
        <f t="shared" si="32"/>
        <v>599.94000000000005</v>
      </c>
      <c r="H1062" s="1" t="str">
        <f>_xlfn.XLOOKUP(C1062,Product!A:A,Product!B:B,"not found",0)</f>
        <v>Electra Townie Original 7D EQ - 2016</v>
      </c>
      <c r="I1062" s="1">
        <f t="shared" si="33"/>
        <v>599.94000000000005</v>
      </c>
    </row>
    <row r="1063" spans="1:9" x14ac:dyDescent="0.2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 s="1">
        <f t="shared" si="32"/>
        <v>3361.93</v>
      </c>
      <c r="H1063" s="1" t="str">
        <f>_xlfn.XLOOKUP(C1063,Product!A:A,Product!B:B,"not found",0)</f>
        <v>Surly Straggler 650b - 2016</v>
      </c>
      <c r="I1063" s="1">
        <f t="shared" si="33"/>
        <v>3361.93</v>
      </c>
    </row>
    <row r="1064" spans="1:9" x14ac:dyDescent="0.2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 s="1">
        <f t="shared" si="32"/>
        <v>539.91</v>
      </c>
      <c r="H1064" s="1" t="str">
        <f>_xlfn.XLOOKUP(C1064,Product!A:A,Product!B:B,"not found",0)</f>
        <v>Electra Cruiser 1 (24-Inch) - 2016</v>
      </c>
      <c r="I1064" s="1">
        <f t="shared" si="33"/>
        <v>539.91</v>
      </c>
    </row>
    <row r="1065" spans="1:9" x14ac:dyDescent="0.2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 s="1">
        <f t="shared" si="32"/>
        <v>1799.89</v>
      </c>
      <c r="H1065" s="1" t="str">
        <f>_xlfn.XLOOKUP(C1065,Product!A:A,Product!B:B,"not found",0)</f>
        <v>Trek Remedy 29 Carbon Frameset - 2016</v>
      </c>
      <c r="I1065" s="1">
        <f t="shared" si="33"/>
        <v>1799.89</v>
      </c>
    </row>
    <row r="1066" spans="1:9" x14ac:dyDescent="0.2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 s="1">
        <f t="shared" si="32"/>
        <v>2999.89</v>
      </c>
      <c r="H1066" s="1" t="str">
        <f>_xlfn.XLOOKUP(C1066,Product!A:A,Product!B:B,"not found",0)</f>
        <v>Trek Conduit+ - 2016</v>
      </c>
      <c r="I1066" s="1">
        <f t="shared" si="33"/>
        <v>2999.89</v>
      </c>
    </row>
    <row r="1067" spans="1:9" x14ac:dyDescent="0.2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 s="1">
        <f t="shared" si="32"/>
        <v>269.92</v>
      </c>
      <c r="H1067" s="1" t="str">
        <f>_xlfn.XLOOKUP(C1067,Product!A:A,Product!B:B,"not found",0)</f>
        <v>Electra Cruiser 1 (24-Inch) - 2016</v>
      </c>
      <c r="I1067" s="1">
        <f t="shared" si="33"/>
        <v>269.92</v>
      </c>
    </row>
    <row r="1068" spans="1:9" x14ac:dyDescent="0.2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 s="1">
        <f t="shared" si="32"/>
        <v>448.93</v>
      </c>
      <c r="H1068" s="1" t="str">
        <f>_xlfn.XLOOKUP(C1068,Product!A:A,Product!B:B,"not found",0)</f>
        <v>Pure Cycles William 3-Speed - 2016</v>
      </c>
      <c r="I1068" s="1">
        <f t="shared" si="33"/>
        <v>448.93</v>
      </c>
    </row>
    <row r="1069" spans="1:9" x14ac:dyDescent="0.2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 s="1">
        <f t="shared" si="32"/>
        <v>539.93000000000006</v>
      </c>
      <c r="H1069" s="1" t="str">
        <f>_xlfn.XLOOKUP(C1069,Product!A:A,Product!B:B,"not found",0)</f>
        <v>Electra Girl's Hawaii 1 (16-inch) - 2015/2016</v>
      </c>
      <c r="I1069" s="1">
        <f t="shared" si="33"/>
        <v>539.93000000000006</v>
      </c>
    </row>
    <row r="1070" spans="1:9" x14ac:dyDescent="0.2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 s="1">
        <f t="shared" si="32"/>
        <v>269.89</v>
      </c>
      <c r="H1070" s="1" t="str">
        <f>_xlfn.XLOOKUP(C1070,Product!A:A,Product!B:B,"not found",0)</f>
        <v>Electra Cruiser 1 (24-Inch) - 2016</v>
      </c>
      <c r="I1070" s="1">
        <f t="shared" si="33"/>
        <v>269.89</v>
      </c>
    </row>
    <row r="1071" spans="1:9" x14ac:dyDescent="0.2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 s="1">
        <f t="shared" si="32"/>
        <v>539.93000000000006</v>
      </c>
      <c r="H1071" s="1" t="str">
        <f>_xlfn.XLOOKUP(C1071,Product!A:A,Product!B:B,"not found",0)</f>
        <v>Electra Cruiser 1 (24-Inch) - 2016</v>
      </c>
      <c r="I1071" s="1">
        <f t="shared" si="33"/>
        <v>539.93000000000006</v>
      </c>
    </row>
    <row r="1072" spans="1:9" x14ac:dyDescent="0.2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 s="1">
        <f t="shared" si="32"/>
        <v>269.89</v>
      </c>
      <c r="H1072" s="1" t="str">
        <f>_xlfn.XLOOKUP(C1072,Product!A:A,Product!B:B,"not found",0)</f>
        <v>Electra Girl's Hawaii 1 (16-inch) - 2015/2016</v>
      </c>
      <c r="I1072" s="1">
        <f t="shared" si="33"/>
        <v>269.89</v>
      </c>
    </row>
    <row r="1073" spans="1:9" x14ac:dyDescent="0.2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 s="1">
        <f t="shared" si="32"/>
        <v>599.89</v>
      </c>
      <c r="H1073" s="1" t="str">
        <f>_xlfn.XLOOKUP(C1073,Product!A:A,Product!B:B,"not found",0)</f>
        <v>Electra Townie Original 7D EQ - Women's - 2016</v>
      </c>
      <c r="I1073" s="1">
        <f t="shared" si="33"/>
        <v>599.89</v>
      </c>
    </row>
    <row r="1074" spans="1:9" x14ac:dyDescent="0.2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 s="1">
        <f t="shared" si="32"/>
        <v>539.78</v>
      </c>
      <c r="H1074" s="1" t="str">
        <f>_xlfn.XLOOKUP(C1074,Product!A:A,Product!B:B,"not found",0)</f>
        <v>Electra Cruiser 1 (24-Inch) - 2016</v>
      </c>
      <c r="I1074" s="1">
        <f t="shared" si="33"/>
        <v>539.78</v>
      </c>
    </row>
    <row r="1075" spans="1:9" x14ac:dyDescent="0.2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 s="1">
        <f t="shared" si="32"/>
        <v>1799.94</v>
      </c>
      <c r="H1075" s="1" t="str">
        <f>_xlfn.XLOOKUP(C1075,Product!A:A,Product!B:B,"not found",0)</f>
        <v>Trek Remedy 29 Carbon Frameset - 2016</v>
      </c>
      <c r="I1075" s="1">
        <f t="shared" si="33"/>
        <v>1799.94</v>
      </c>
    </row>
    <row r="1076" spans="1:9" x14ac:dyDescent="0.2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 s="1">
        <f t="shared" si="32"/>
        <v>529.89</v>
      </c>
      <c r="H1076" s="1" t="str">
        <f>_xlfn.XLOOKUP(C1076,Product!A:A,Product!B:B,"not found",0)</f>
        <v>Electra Moto 1 - 2016</v>
      </c>
      <c r="I1076" s="1">
        <f t="shared" si="33"/>
        <v>529.89</v>
      </c>
    </row>
    <row r="1077" spans="1:9" x14ac:dyDescent="0.2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 s="1">
        <f t="shared" si="32"/>
        <v>2899.79</v>
      </c>
      <c r="H1077" s="1" t="str">
        <f>_xlfn.XLOOKUP(C1077,Product!A:A,Product!B:B,"not found",0)</f>
        <v>Trek Fuel EX 8 29 - 2016</v>
      </c>
      <c r="I1077" s="1">
        <f t="shared" si="33"/>
        <v>2899.79</v>
      </c>
    </row>
    <row r="1078" spans="1:9" x14ac:dyDescent="0.2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 s="1">
        <f t="shared" si="32"/>
        <v>269.92</v>
      </c>
      <c r="H1078" s="1" t="str">
        <f>_xlfn.XLOOKUP(C1078,Product!A:A,Product!B:B,"not found",0)</f>
        <v>Electra Cruiser 1 (24-Inch) - 2016</v>
      </c>
      <c r="I1078" s="1">
        <f t="shared" si="33"/>
        <v>269.92</v>
      </c>
    </row>
    <row r="1079" spans="1:9" x14ac:dyDescent="0.2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 s="1">
        <f t="shared" si="32"/>
        <v>7999.78</v>
      </c>
      <c r="H1079" s="1" t="str">
        <f>_xlfn.XLOOKUP(C1079,Product!A:A,Product!B:B,"not found",0)</f>
        <v>Trek Slash 8 27.5 - 2016</v>
      </c>
      <c r="I1079" s="1">
        <f t="shared" si="33"/>
        <v>7999.78</v>
      </c>
    </row>
    <row r="1080" spans="1:9" x14ac:dyDescent="0.2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 s="1">
        <f t="shared" si="32"/>
        <v>1199.93</v>
      </c>
      <c r="H1080" s="1" t="str">
        <f>_xlfn.XLOOKUP(C1080,Product!A:A,Product!B:B,"not found",0)</f>
        <v>Electra Townie Original 7D EQ - 2016</v>
      </c>
      <c r="I1080" s="1">
        <f t="shared" si="33"/>
        <v>1199.93</v>
      </c>
    </row>
    <row r="1081" spans="1:9" x14ac:dyDescent="0.2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 s="1">
        <f t="shared" si="32"/>
        <v>1799.79</v>
      </c>
      <c r="H1081" s="1" t="str">
        <f>_xlfn.XLOOKUP(C1081,Product!A:A,Product!B:B,"not found",0)</f>
        <v>Trek Remedy 29 Carbon Frameset - 2016</v>
      </c>
      <c r="I1081" s="1">
        <f t="shared" si="33"/>
        <v>1799.79</v>
      </c>
    </row>
    <row r="1082" spans="1:9" x14ac:dyDescent="0.2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 s="1">
        <f t="shared" si="32"/>
        <v>1999.93</v>
      </c>
      <c r="H1082" s="1" t="str">
        <f>_xlfn.XLOOKUP(C1082,Product!A:A,Product!B:B,"not found",0)</f>
        <v>Surly Wednesday Frameset - 2016</v>
      </c>
      <c r="I1082" s="1">
        <f t="shared" si="33"/>
        <v>1999.93</v>
      </c>
    </row>
    <row r="1083" spans="1:9" x14ac:dyDescent="0.2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 s="1">
        <f t="shared" si="32"/>
        <v>1199.78</v>
      </c>
      <c r="H1083" s="1" t="str">
        <f>_xlfn.XLOOKUP(C1083,Product!A:A,Product!B:B,"not found",0)</f>
        <v>Electra Townie Original 7D EQ - 2016</v>
      </c>
      <c r="I1083" s="1">
        <f t="shared" si="33"/>
        <v>1199.78</v>
      </c>
    </row>
    <row r="1084" spans="1:9" x14ac:dyDescent="0.2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 s="1">
        <f t="shared" si="32"/>
        <v>448.8</v>
      </c>
      <c r="H1084" s="1" t="str">
        <f>_xlfn.XLOOKUP(C1084,Product!A:A,Product!B:B,"not found",0)</f>
        <v>Pure Cycles Western 3-Speed - Women's - 2015/2016</v>
      </c>
      <c r="I1084" s="1">
        <f t="shared" si="33"/>
        <v>448.8</v>
      </c>
    </row>
    <row r="1085" spans="1:9" x14ac:dyDescent="0.2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 s="1">
        <f t="shared" si="32"/>
        <v>897.8</v>
      </c>
      <c r="H1085" s="1" t="str">
        <f>_xlfn.XLOOKUP(C1085,Product!A:A,Product!B:B,"not found",0)</f>
        <v>Pure Cycles William 3-Speed - 2016</v>
      </c>
      <c r="I1085" s="1">
        <f t="shared" si="33"/>
        <v>897.8</v>
      </c>
    </row>
    <row r="1086" spans="1:9" x14ac:dyDescent="0.2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 s="1">
        <f t="shared" si="32"/>
        <v>539.91</v>
      </c>
      <c r="H1086" s="1" t="str">
        <f>_xlfn.XLOOKUP(C1086,Product!A:A,Product!B:B,"not found",0)</f>
        <v>Electra Cruiser 1 (24-Inch) - 2016</v>
      </c>
      <c r="I1086" s="1">
        <f t="shared" si="33"/>
        <v>539.91</v>
      </c>
    </row>
    <row r="1087" spans="1:9" x14ac:dyDescent="0.2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 s="1">
        <f t="shared" si="32"/>
        <v>749.92</v>
      </c>
      <c r="H1087" s="1" t="str">
        <f>_xlfn.XLOOKUP(C1087,Product!A:A,Product!B:B,"not found",0)</f>
        <v>Ritchey Timberwolf Frameset - 2016</v>
      </c>
      <c r="I1087" s="1">
        <f t="shared" si="33"/>
        <v>749.92</v>
      </c>
    </row>
    <row r="1088" spans="1:9" x14ac:dyDescent="0.2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 s="1">
        <f t="shared" si="32"/>
        <v>1680.89</v>
      </c>
      <c r="H1088" s="1" t="str">
        <f>_xlfn.XLOOKUP(C1088,Product!A:A,Product!B:B,"not found",0)</f>
        <v>Surly Straggler 650b - 2016</v>
      </c>
      <c r="I1088" s="1">
        <f t="shared" si="33"/>
        <v>1680.89</v>
      </c>
    </row>
    <row r="1089" spans="1:9" x14ac:dyDescent="0.2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 s="1">
        <f t="shared" si="32"/>
        <v>749.92</v>
      </c>
      <c r="H1089" s="1" t="str">
        <f>_xlfn.XLOOKUP(C1089,Product!A:A,Product!B:B,"not found",0)</f>
        <v>Ritchey Timberwolf Frameset - 2016</v>
      </c>
      <c r="I1089" s="1">
        <f t="shared" si="33"/>
        <v>749.92</v>
      </c>
    </row>
    <row r="1090" spans="1:9" x14ac:dyDescent="0.2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 s="1">
        <f t="shared" si="32"/>
        <v>1059.9100000000001</v>
      </c>
      <c r="H1090" s="1" t="str">
        <f>_xlfn.XLOOKUP(C1090,Product!A:A,Product!B:B,"not found",0)</f>
        <v>Electra Moto 1 - 2016</v>
      </c>
      <c r="I1090" s="1">
        <f t="shared" si="33"/>
        <v>1059.9100000000001</v>
      </c>
    </row>
    <row r="1091" spans="1:9" x14ac:dyDescent="0.2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 s="1">
        <f t="shared" ref="G1091:G1154" si="34">(E1091*D1091)-F1091</f>
        <v>3097.95</v>
      </c>
      <c r="H1091" s="1" t="str">
        <f>_xlfn.XLOOKUP(C1091,Product!A:A,Product!B:B,"not found",0)</f>
        <v>Surly Straggler - 2016</v>
      </c>
      <c r="I1091" s="1">
        <f t="shared" ref="I1091:I1154" si="35">(D1091*E1091)-F1091</f>
        <v>3097.95</v>
      </c>
    </row>
    <row r="1092" spans="1:9" x14ac:dyDescent="0.2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 s="1">
        <f t="shared" si="34"/>
        <v>1320.94</v>
      </c>
      <c r="H1092" s="1" t="str">
        <f>_xlfn.XLOOKUP(C1092,Product!A:A,Product!B:B,"not found",0)</f>
        <v>Heller Shagamaw Frame - 2016</v>
      </c>
      <c r="I1092" s="1">
        <f t="shared" si="35"/>
        <v>1320.94</v>
      </c>
    </row>
    <row r="1093" spans="1:9" x14ac:dyDescent="0.2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 s="1">
        <f t="shared" si="34"/>
        <v>2999.79</v>
      </c>
      <c r="H1093" s="1" t="str">
        <f>_xlfn.XLOOKUP(C1093,Product!A:A,Product!B:B,"not found",0)</f>
        <v>Trek Conduit+ - 2016</v>
      </c>
      <c r="I1093" s="1">
        <f t="shared" si="35"/>
        <v>2999.79</v>
      </c>
    </row>
    <row r="1094" spans="1:9" x14ac:dyDescent="0.2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 s="1">
        <f t="shared" si="34"/>
        <v>299.94</v>
      </c>
      <c r="H1094" s="1" t="str">
        <f>_xlfn.XLOOKUP(C1094,Product!A:A,Product!B:B,"not found",0)</f>
        <v>Electra Girl's Hawaii 1 (20-inch) - 2015/2016</v>
      </c>
      <c r="I1094" s="1">
        <f t="shared" si="35"/>
        <v>299.94</v>
      </c>
    </row>
    <row r="1095" spans="1:9" x14ac:dyDescent="0.2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 s="1">
        <f t="shared" si="34"/>
        <v>7999.91</v>
      </c>
      <c r="H1095" s="1" t="str">
        <f>_xlfn.XLOOKUP(C1095,Product!A:A,Product!B:B,"not found",0)</f>
        <v>Trek Slash 8 27.5 - 2016</v>
      </c>
      <c r="I1095" s="1">
        <f t="shared" si="35"/>
        <v>7999.91</v>
      </c>
    </row>
    <row r="1096" spans="1:9" x14ac:dyDescent="0.2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 s="1">
        <f t="shared" si="34"/>
        <v>2999.9399999999996</v>
      </c>
      <c r="H1096" s="1" t="str">
        <f>_xlfn.XLOOKUP(C1096,Product!A:A,Product!B:B,"not found",0)</f>
        <v>Trek Conduit+ - 2016</v>
      </c>
      <c r="I1096" s="1">
        <f t="shared" si="35"/>
        <v>2999.9399999999996</v>
      </c>
    </row>
    <row r="1097" spans="1:9" x14ac:dyDescent="0.2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 s="1">
        <f t="shared" si="34"/>
        <v>1799.92</v>
      </c>
      <c r="H1097" s="1" t="str">
        <f>_xlfn.XLOOKUP(C1097,Product!A:A,Product!B:B,"not found",0)</f>
        <v>Trek Remedy 29 Carbon Frameset - 2016</v>
      </c>
      <c r="I1097" s="1">
        <f t="shared" si="35"/>
        <v>1799.92</v>
      </c>
    </row>
    <row r="1098" spans="1:9" x14ac:dyDescent="0.2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 s="1">
        <f t="shared" si="34"/>
        <v>2641.78</v>
      </c>
      <c r="H1098" s="1" t="str">
        <f>_xlfn.XLOOKUP(C1098,Product!A:A,Product!B:B,"not found",0)</f>
        <v>Heller Shagamaw Frame - 2016</v>
      </c>
      <c r="I1098" s="1">
        <f t="shared" si="35"/>
        <v>2641.78</v>
      </c>
    </row>
    <row r="1099" spans="1:9" x14ac:dyDescent="0.2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 s="1">
        <f t="shared" si="34"/>
        <v>1099.9100000000001</v>
      </c>
      <c r="H1099" s="1" t="str">
        <f>_xlfn.XLOOKUP(C1099,Product!A:A,Product!B:B,"not found",0)</f>
        <v>Electra Townie Original 21D - 2016</v>
      </c>
      <c r="I1099" s="1">
        <f t="shared" si="35"/>
        <v>1099.9100000000001</v>
      </c>
    </row>
    <row r="1100" spans="1:9" x14ac:dyDescent="0.2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 s="1">
        <f t="shared" si="34"/>
        <v>539.88</v>
      </c>
      <c r="H1100" s="1" t="str">
        <f>_xlfn.XLOOKUP(C1100,Product!A:A,Product!B:B,"not found",0)</f>
        <v>Electra Girl's Hawaii 1 (16-inch) - 2015/2016</v>
      </c>
      <c r="I1100" s="1">
        <f t="shared" si="35"/>
        <v>539.88</v>
      </c>
    </row>
    <row r="1101" spans="1:9" x14ac:dyDescent="0.2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 s="1">
        <f t="shared" si="34"/>
        <v>1999.93</v>
      </c>
      <c r="H1101" s="1" t="str">
        <f>_xlfn.XLOOKUP(C1101,Product!A:A,Product!B:B,"not found",0)</f>
        <v>Surly Wednesday Frameset - 2016</v>
      </c>
      <c r="I1101" s="1">
        <f t="shared" si="35"/>
        <v>1999.93</v>
      </c>
    </row>
    <row r="1102" spans="1:9" x14ac:dyDescent="0.2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 s="1">
        <f t="shared" si="34"/>
        <v>939.78</v>
      </c>
      <c r="H1102" s="1" t="str">
        <f>_xlfn.XLOOKUP(C1102,Product!A:A,Product!B:B,"not found",0)</f>
        <v>Surly Ice Cream Truck Frameset - 2016</v>
      </c>
      <c r="I1102" s="1">
        <f t="shared" si="35"/>
        <v>939.78</v>
      </c>
    </row>
    <row r="1103" spans="1:9" x14ac:dyDescent="0.2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 s="1">
        <f t="shared" si="34"/>
        <v>299.94</v>
      </c>
      <c r="H1103" s="1" t="str">
        <f>_xlfn.XLOOKUP(C1103,Product!A:A,Product!B:B,"not found",0)</f>
        <v>Electra Girl's Hawaii 1 (20-inch) - 2015/2016</v>
      </c>
      <c r="I1103" s="1">
        <f t="shared" si="35"/>
        <v>299.94</v>
      </c>
    </row>
    <row r="1104" spans="1:9" x14ac:dyDescent="0.2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 s="1">
        <f t="shared" si="34"/>
        <v>599.79</v>
      </c>
      <c r="H1104" s="1" t="str">
        <f>_xlfn.XLOOKUP(C1104,Product!A:A,Product!B:B,"not found",0)</f>
        <v>Electra Townie Original 7D EQ - 2016</v>
      </c>
      <c r="I1104" s="1">
        <f t="shared" si="35"/>
        <v>599.79</v>
      </c>
    </row>
    <row r="1105" spans="1:9" x14ac:dyDescent="0.2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 s="1">
        <f t="shared" si="34"/>
        <v>539.78</v>
      </c>
      <c r="H1105" s="1" t="str">
        <f>_xlfn.XLOOKUP(C1105,Product!A:A,Product!B:B,"not found",0)</f>
        <v>Electra Girl's Hawaii 1 (16-inch) - 2015/2016</v>
      </c>
      <c r="I1105" s="1">
        <f t="shared" si="35"/>
        <v>539.78</v>
      </c>
    </row>
    <row r="1106" spans="1:9" x14ac:dyDescent="0.2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 s="1">
        <f t="shared" si="34"/>
        <v>269.94</v>
      </c>
      <c r="H1106" s="1" t="str">
        <f>_xlfn.XLOOKUP(C1106,Product!A:A,Product!B:B,"not found",0)</f>
        <v>Electra Girl's Hawaii 1 (16-inch) - 2015/2016</v>
      </c>
      <c r="I1106" s="1">
        <f t="shared" si="35"/>
        <v>269.94</v>
      </c>
    </row>
    <row r="1107" spans="1:9" x14ac:dyDescent="0.2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 s="1">
        <f t="shared" si="34"/>
        <v>549.89</v>
      </c>
      <c r="H1107" s="1" t="str">
        <f>_xlfn.XLOOKUP(C1107,Product!A:A,Product!B:B,"not found",0)</f>
        <v>Electra Townie Original 21D - 2016</v>
      </c>
      <c r="I1107" s="1">
        <f t="shared" si="35"/>
        <v>549.89</v>
      </c>
    </row>
    <row r="1108" spans="1:9" x14ac:dyDescent="0.2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 s="1">
        <f t="shared" si="34"/>
        <v>999.93000000000006</v>
      </c>
      <c r="H1108" s="1" t="str">
        <f>_xlfn.XLOOKUP(C1108,Product!A:A,Product!B:B,"not found",0)</f>
        <v>Electra Townie Original 7D - 2015/2016</v>
      </c>
      <c r="I1108" s="1">
        <f t="shared" si="35"/>
        <v>999.93000000000006</v>
      </c>
    </row>
    <row r="1109" spans="1:9" x14ac:dyDescent="0.2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 s="1">
        <f t="shared" si="34"/>
        <v>1320.79</v>
      </c>
      <c r="H1109" s="1" t="str">
        <f>_xlfn.XLOOKUP(C1109,Product!A:A,Product!B:B,"not found",0)</f>
        <v>Heller Shagamaw Frame - 2016</v>
      </c>
      <c r="I1109" s="1">
        <f t="shared" si="35"/>
        <v>1320.79</v>
      </c>
    </row>
    <row r="1110" spans="1:9" x14ac:dyDescent="0.2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 s="1">
        <f t="shared" si="34"/>
        <v>3999.9399999999996</v>
      </c>
      <c r="H1110" s="1" t="str">
        <f>_xlfn.XLOOKUP(C1110,Product!A:A,Product!B:B,"not found",0)</f>
        <v>Trek Slash 8 27.5 - 2016</v>
      </c>
      <c r="I1110" s="1">
        <f t="shared" si="35"/>
        <v>3999.9399999999996</v>
      </c>
    </row>
    <row r="1111" spans="1:9" x14ac:dyDescent="0.2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 s="1">
        <f t="shared" si="34"/>
        <v>3599.93</v>
      </c>
      <c r="H1111" s="1" t="str">
        <f>_xlfn.XLOOKUP(C1111,Product!A:A,Product!B:B,"not found",0)</f>
        <v>Trek Remedy 29 Carbon Frameset - 2016</v>
      </c>
      <c r="I1111" s="1">
        <f t="shared" si="35"/>
        <v>3599.93</v>
      </c>
    </row>
    <row r="1112" spans="1:9" x14ac:dyDescent="0.2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 s="1">
        <f t="shared" si="34"/>
        <v>897.95</v>
      </c>
      <c r="H1112" s="1" t="str">
        <f>_xlfn.XLOOKUP(C1112,Product!A:A,Product!B:B,"not found",0)</f>
        <v>Pure Cycles Western 3-Speed - Women's - 2015/2016</v>
      </c>
      <c r="I1112" s="1">
        <f t="shared" si="35"/>
        <v>897.95</v>
      </c>
    </row>
    <row r="1113" spans="1:9" x14ac:dyDescent="0.2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 s="1">
        <f t="shared" si="34"/>
        <v>499.79</v>
      </c>
      <c r="H1113" s="1" t="str">
        <f>_xlfn.XLOOKUP(C1113,Product!A:A,Product!B:B,"not found",0)</f>
        <v>Electra Townie Original 7D - 2015/2016</v>
      </c>
      <c r="I1113" s="1">
        <f t="shared" si="35"/>
        <v>499.79</v>
      </c>
    </row>
    <row r="1114" spans="1:9" x14ac:dyDescent="0.2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 s="1">
        <f t="shared" si="34"/>
        <v>428.95</v>
      </c>
      <c r="H1114" s="1" t="str">
        <f>_xlfn.XLOOKUP(C1114,Product!A:A,Product!B:B,"not found",0)</f>
        <v>Pure Cycles Vine 8-Speed - 2016</v>
      </c>
      <c r="I1114" s="1">
        <f t="shared" si="35"/>
        <v>428.95</v>
      </c>
    </row>
    <row r="1115" spans="1:9" x14ac:dyDescent="0.2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 s="1">
        <f t="shared" si="34"/>
        <v>499.94</v>
      </c>
      <c r="H1115" s="1" t="str">
        <f>_xlfn.XLOOKUP(C1115,Product!A:A,Product!B:B,"not found",0)</f>
        <v>Electra Townie Original 7D - 2015/2016</v>
      </c>
      <c r="I1115" s="1">
        <f t="shared" si="35"/>
        <v>499.94</v>
      </c>
    </row>
    <row r="1116" spans="1:9" x14ac:dyDescent="0.2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 s="1">
        <f t="shared" si="34"/>
        <v>3361.93</v>
      </c>
      <c r="H1116" s="1" t="str">
        <f>_xlfn.XLOOKUP(C1116,Product!A:A,Product!B:B,"not found",0)</f>
        <v>Surly Straggler 650b - 2016</v>
      </c>
      <c r="I1116" s="1">
        <f t="shared" si="35"/>
        <v>3361.93</v>
      </c>
    </row>
    <row r="1117" spans="1:9" x14ac:dyDescent="0.2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 s="1">
        <f t="shared" si="34"/>
        <v>269.89</v>
      </c>
      <c r="H1117" s="1" t="str">
        <f>_xlfn.XLOOKUP(C1117,Product!A:A,Product!B:B,"not found",0)</f>
        <v>Electra Girl's Hawaii 1 (16-inch) - 2015/2016</v>
      </c>
      <c r="I1117" s="1">
        <f t="shared" si="35"/>
        <v>269.89</v>
      </c>
    </row>
    <row r="1118" spans="1:9" x14ac:dyDescent="0.2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 s="1">
        <f t="shared" si="34"/>
        <v>1099.9100000000001</v>
      </c>
      <c r="H1118" s="1" t="str">
        <f>_xlfn.XLOOKUP(C1118,Product!A:A,Product!B:B,"not found",0)</f>
        <v>Electra Townie Original 21D - 2016</v>
      </c>
      <c r="I1118" s="1">
        <f t="shared" si="35"/>
        <v>1099.9100000000001</v>
      </c>
    </row>
    <row r="1119" spans="1:9" x14ac:dyDescent="0.2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 s="1">
        <f t="shared" si="34"/>
        <v>2999.79</v>
      </c>
      <c r="H1119" s="1" t="str">
        <f>_xlfn.XLOOKUP(C1119,Product!A:A,Product!B:B,"not found",0)</f>
        <v>Trek Conduit+ - 2016</v>
      </c>
      <c r="I1119" s="1">
        <f t="shared" si="35"/>
        <v>2999.79</v>
      </c>
    </row>
    <row r="1120" spans="1:9" x14ac:dyDescent="0.2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 s="1">
        <f t="shared" si="34"/>
        <v>1999.78</v>
      </c>
      <c r="H1120" s="1" t="str">
        <f>_xlfn.XLOOKUP(C1120,Product!A:A,Product!B:B,"not found",0)</f>
        <v>Surly Wednesday Frameset - 2016</v>
      </c>
      <c r="I1120" s="1">
        <f t="shared" si="35"/>
        <v>1999.78</v>
      </c>
    </row>
    <row r="1121" spans="1:9" x14ac:dyDescent="0.2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 s="1">
        <f t="shared" si="34"/>
        <v>299.79000000000002</v>
      </c>
      <c r="H1121" s="1" t="str">
        <f>_xlfn.XLOOKUP(C1121,Product!A:A,Product!B:B,"not found",0)</f>
        <v>Electra Girl's Hawaii 1 (20-inch) - 2015/2016</v>
      </c>
      <c r="I1121" s="1">
        <f t="shared" si="35"/>
        <v>299.79000000000002</v>
      </c>
    </row>
    <row r="1122" spans="1:9" x14ac:dyDescent="0.2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 s="1">
        <f t="shared" si="34"/>
        <v>3097.8</v>
      </c>
      <c r="H1122" s="1" t="str">
        <f>_xlfn.XLOOKUP(C1122,Product!A:A,Product!B:B,"not found",0)</f>
        <v>Surly Straggler - 2016</v>
      </c>
      <c r="I1122" s="1">
        <f t="shared" si="35"/>
        <v>3097.8</v>
      </c>
    </row>
    <row r="1123" spans="1:9" x14ac:dyDescent="0.2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 s="1">
        <f t="shared" si="34"/>
        <v>939.91</v>
      </c>
      <c r="H1123" s="1" t="str">
        <f>_xlfn.XLOOKUP(C1123,Product!A:A,Product!B:B,"not found",0)</f>
        <v>Surly Ice Cream Truck Frameset - 2016</v>
      </c>
      <c r="I1123" s="1">
        <f t="shared" si="35"/>
        <v>939.91</v>
      </c>
    </row>
    <row r="1124" spans="1:9" x14ac:dyDescent="0.2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 s="1">
        <f t="shared" si="34"/>
        <v>1320.92</v>
      </c>
      <c r="H1124" s="1" t="str">
        <f>_xlfn.XLOOKUP(C1124,Product!A:A,Product!B:B,"not found",0)</f>
        <v>Heller Shagamaw Frame - 2016</v>
      </c>
      <c r="I1124" s="1">
        <f t="shared" si="35"/>
        <v>1320.92</v>
      </c>
    </row>
    <row r="1125" spans="1:9" x14ac:dyDescent="0.2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 s="1">
        <f t="shared" si="34"/>
        <v>599.94000000000005</v>
      </c>
      <c r="H1125" s="1" t="str">
        <f>_xlfn.XLOOKUP(C1125,Product!A:A,Product!B:B,"not found",0)</f>
        <v>Electra Townie Original 7D EQ - 2016</v>
      </c>
      <c r="I1125" s="1">
        <f t="shared" si="35"/>
        <v>599.94000000000005</v>
      </c>
    </row>
    <row r="1126" spans="1:9" x14ac:dyDescent="0.2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 s="1">
        <f t="shared" si="34"/>
        <v>1099.8800000000001</v>
      </c>
      <c r="H1126" s="1" t="str">
        <f>_xlfn.XLOOKUP(C1126,Product!A:A,Product!B:B,"not found",0)</f>
        <v>Electra Townie Original 21D - 2016</v>
      </c>
      <c r="I1126" s="1">
        <f t="shared" si="35"/>
        <v>1099.8800000000001</v>
      </c>
    </row>
    <row r="1127" spans="1:9" x14ac:dyDescent="0.2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 s="1">
        <f t="shared" si="34"/>
        <v>7999.78</v>
      </c>
      <c r="H1127" s="1" t="str">
        <f>_xlfn.XLOOKUP(C1127,Product!A:A,Product!B:B,"not found",0)</f>
        <v>Trek Slash 8 27.5 - 2016</v>
      </c>
      <c r="I1127" s="1">
        <f t="shared" si="35"/>
        <v>7999.78</v>
      </c>
    </row>
    <row r="1128" spans="1:9" x14ac:dyDescent="0.2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 s="1">
        <f t="shared" si="34"/>
        <v>539.93000000000006</v>
      </c>
      <c r="H1128" s="1" t="str">
        <f>_xlfn.XLOOKUP(C1128,Product!A:A,Product!B:B,"not found",0)</f>
        <v>Electra Girl's Hawaii 1 (16-inch) - 2015/2016</v>
      </c>
      <c r="I1128" s="1">
        <f t="shared" si="35"/>
        <v>539.93000000000006</v>
      </c>
    </row>
    <row r="1129" spans="1:9" x14ac:dyDescent="0.2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 s="1">
        <f t="shared" si="34"/>
        <v>549.79</v>
      </c>
      <c r="H1129" s="1" t="str">
        <f>_xlfn.XLOOKUP(C1129,Product!A:A,Product!B:B,"not found",0)</f>
        <v>Electra Townie Original 21D - 2016</v>
      </c>
      <c r="I1129" s="1">
        <f t="shared" si="35"/>
        <v>549.79</v>
      </c>
    </row>
    <row r="1130" spans="1:9" x14ac:dyDescent="0.2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 s="1">
        <f t="shared" si="34"/>
        <v>2999.9199999999996</v>
      </c>
      <c r="H1130" s="1" t="str">
        <f>_xlfn.XLOOKUP(C1130,Product!A:A,Product!B:B,"not found",0)</f>
        <v>Trek Conduit+ - 2016</v>
      </c>
      <c r="I1130" s="1">
        <f t="shared" si="35"/>
        <v>2999.9199999999996</v>
      </c>
    </row>
    <row r="1131" spans="1:9" x14ac:dyDescent="0.2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 s="1">
        <f t="shared" si="34"/>
        <v>999.93000000000006</v>
      </c>
      <c r="H1131" s="1" t="str">
        <f>_xlfn.XLOOKUP(C1131,Product!A:A,Product!B:B,"not found",0)</f>
        <v>Electra Townie Original 7D - 2015/2016</v>
      </c>
      <c r="I1131" s="1">
        <f t="shared" si="35"/>
        <v>999.93000000000006</v>
      </c>
    </row>
    <row r="1132" spans="1:9" x14ac:dyDescent="0.2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 s="1">
        <f t="shared" si="34"/>
        <v>1199.78</v>
      </c>
      <c r="H1132" s="1" t="str">
        <f>_xlfn.XLOOKUP(C1132,Product!A:A,Product!B:B,"not found",0)</f>
        <v>Electra Townie Original 7D EQ - 2016</v>
      </c>
      <c r="I1132" s="1">
        <f t="shared" si="35"/>
        <v>1199.78</v>
      </c>
    </row>
    <row r="1133" spans="1:9" x14ac:dyDescent="0.2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 s="1">
        <f t="shared" si="34"/>
        <v>1999.78</v>
      </c>
      <c r="H1133" s="1" t="str">
        <f>_xlfn.XLOOKUP(C1133,Product!A:A,Product!B:B,"not found",0)</f>
        <v>Surly Wednesday Frameset - 2016</v>
      </c>
      <c r="I1133" s="1">
        <f t="shared" si="35"/>
        <v>1999.78</v>
      </c>
    </row>
    <row r="1134" spans="1:9" x14ac:dyDescent="0.2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 s="1">
        <f t="shared" si="34"/>
        <v>3097.9</v>
      </c>
      <c r="H1134" s="1" t="str">
        <f>_xlfn.XLOOKUP(C1134,Product!A:A,Product!B:B,"not found",0)</f>
        <v>Surly Straggler - 2016</v>
      </c>
      <c r="I1134" s="1">
        <f t="shared" si="35"/>
        <v>3097.9</v>
      </c>
    </row>
    <row r="1135" spans="1:9" x14ac:dyDescent="0.2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 s="1">
        <f t="shared" si="34"/>
        <v>539.91</v>
      </c>
      <c r="H1135" s="1" t="str">
        <f>_xlfn.XLOOKUP(C1135,Product!A:A,Product!B:B,"not found",0)</f>
        <v>Electra Girl's Hawaii 1 (16-inch) - 2015/2016</v>
      </c>
      <c r="I1135" s="1">
        <f t="shared" si="35"/>
        <v>539.91</v>
      </c>
    </row>
    <row r="1136" spans="1:9" x14ac:dyDescent="0.2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 s="1">
        <f t="shared" si="34"/>
        <v>2899.79</v>
      </c>
      <c r="H1136" s="1" t="str">
        <f>_xlfn.XLOOKUP(C1136,Product!A:A,Product!B:B,"not found",0)</f>
        <v>Trek Fuel EX 8 29 - 2016</v>
      </c>
      <c r="I1136" s="1">
        <f t="shared" si="35"/>
        <v>2899.79</v>
      </c>
    </row>
    <row r="1137" spans="1:9" x14ac:dyDescent="0.2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 s="1">
        <f t="shared" si="34"/>
        <v>599.79</v>
      </c>
      <c r="H1137" s="1" t="str">
        <f>_xlfn.XLOOKUP(C1137,Product!A:A,Product!B:B,"not found",0)</f>
        <v>Electra Townie Original 7D EQ - Women's - 2016</v>
      </c>
      <c r="I1137" s="1">
        <f t="shared" si="35"/>
        <v>599.79</v>
      </c>
    </row>
    <row r="1138" spans="1:9" x14ac:dyDescent="0.2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 s="1">
        <f t="shared" si="34"/>
        <v>1320.94</v>
      </c>
      <c r="H1138" s="1" t="str">
        <f>_xlfn.XLOOKUP(C1138,Product!A:A,Product!B:B,"not found",0)</f>
        <v>Heller Shagamaw Frame - 2016</v>
      </c>
      <c r="I1138" s="1">
        <f t="shared" si="35"/>
        <v>1320.94</v>
      </c>
    </row>
    <row r="1139" spans="1:9" x14ac:dyDescent="0.2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 s="1">
        <f t="shared" si="34"/>
        <v>448.8</v>
      </c>
      <c r="H1139" s="1" t="str">
        <f>_xlfn.XLOOKUP(C1139,Product!A:A,Product!B:B,"not found",0)</f>
        <v>Pure Cycles Western 3-Speed - Women's - 2015/2016</v>
      </c>
      <c r="I1139" s="1">
        <f t="shared" si="35"/>
        <v>448.8</v>
      </c>
    </row>
    <row r="1140" spans="1:9" x14ac:dyDescent="0.2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 s="1">
        <f t="shared" si="34"/>
        <v>999.92</v>
      </c>
      <c r="H1140" s="1" t="str">
        <f>_xlfn.XLOOKUP(C1140,Product!A:A,Product!B:B,"not found",0)</f>
        <v>Surly Wednesday Frameset - 2016</v>
      </c>
      <c r="I1140" s="1">
        <f t="shared" si="35"/>
        <v>999.92</v>
      </c>
    </row>
    <row r="1141" spans="1:9" x14ac:dyDescent="0.2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 s="1">
        <f t="shared" si="34"/>
        <v>1499.91</v>
      </c>
      <c r="H1141" s="1" t="str">
        <f>_xlfn.XLOOKUP(C1141,Product!A:A,Product!B:B,"not found",0)</f>
        <v>Ritchey Timberwolf Frameset - 2016</v>
      </c>
      <c r="I1141" s="1">
        <f t="shared" si="35"/>
        <v>1499.91</v>
      </c>
    </row>
    <row r="1142" spans="1:9" x14ac:dyDescent="0.2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 s="1">
        <f t="shared" si="34"/>
        <v>857.8</v>
      </c>
      <c r="H1142" s="1" t="str">
        <f>_xlfn.XLOOKUP(C1142,Product!A:A,Product!B:B,"not found",0)</f>
        <v>Pure Cycles Vine 8-Speed - 2016</v>
      </c>
      <c r="I1142" s="1">
        <f t="shared" si="35"/>
        <v>857.8</v>
      </c>
    </row>
    <row r="1143" spans="1:9" x14ac:dyDescent="0.2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 s="1">
        <f t="shared" si="34"/>
        <v>529.91999999999996</v>
      </c>
      <c r="H1143" s="1" t="str">
        <f>_xlfn.XLOOKUP(C1143,Product!A:A,Product!B:B,"not found",0)</f>
        <v>Electra Moto 1 - 2016</v>
      </c>
      <c r="I1143" s="1">
        <f t="shared" si="35"/>
        <v>529.91999999999996</v>
      </c>
    </row>
    <row r="1144" spans="1:9" x14ac:dyDescent="0.2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 s="1">
        <f t="shared" si="34"/>
        <v>1199.78</v>
      </c>
      <c r="H1144" s="1" t="str">
        <f>_xlfn.XLOOKUP(C1144,Product!A:A,Product!B:B,"not found",0)</f>
        <v>Electra Townie Original 7D EQ - 2016</v>
      </c>
      <c r="I1144" s="1">
        <f t="shared" si="35"/>
        <v>1199.78</v>
      </c>
    </row>
    <row r="1145" spans="1:9" x14ac:dyDescent="0.2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 s="1">
        <f t="shared" si="34"/>
        <v>269.94</v>
      </c>
      <c r="H1145" s="1" t="str">
        <f>_xlfn.XLOOKUP(C1145,Product!A:A,Product!B:B,"not found",0)</f>
        <v>Electra Cruiser 1 (24-Inch) - 2016</v>
      </c>
      <c r="I1145" s="1">
        <f t="shared" si="35"/>
        <v>269.94</v>
      </c>
    </row>
    <row r="1146" spans="1:9" x14ac:dyDescent="0.2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 s="1">
        <f t="shared" si="34"/>
        <v>499.89</v>
      </c>
      <c r="H1146" s="1" t="str">
        <f>_xlfn.XLOOKUP(C1146,Product!A:A,Product!B:B,"not found",0)</f>
        <v>Electra Townie Original 7D - 2015/2016</v>
      </c>
      <c r="I1146" s="1">
        <f t="shared" si="35"/>
        <v>499.89</v>
      </c>
    </row>
    <row r="1147" spans="1:9" x14ac:dyDescent="0.2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 s="1">
        <f t="shared" si="34"/>
        <v>5999.9299999999994</v>
      </c>
      <c r="H1147" s="1" t="str">
        <f>_xlfn.XLOOKUP(C1147,Product!A:A,Product!B:B,"not found",0)</f>
        <v>Trek Conduit+ - 2016</v>
      </c>
      <c r="I1147" s="1">
        <f t="shared" si="35"/>
        <v>5999.9299999999994</v>
      </c>
    </row>
    <row r="1148" spans="1:9" x14ac:dyDescent="0.2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 s="1">
        <f t="shared" si="34"/>
        <v>1099.8800000000001</v>
      </c>
      <c r="H1148" s="1" t="str">
        <f>_xlfn.XLOOKUP(C1148,Product!A:A,Product!B:B,"not found",0)</f>
        <v>Electra Townie Original 21D - 2016</v>
      </c>
      <c r="I1148" s="1">
        <f t="shared" si="35"/>
        <v>1099.8800000000001</v>
      </c>
    </row>
    <row r="1149" spans="1:9" x14ac:dyDescent="0.2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 s="1">
        <f t="shared" si="34"/>
        <v>749.92</v>
      </c>
      <c r="H1149" s="1" t="str">
        <f>_xlfn.XLOOKUP(C1149,Product!A:A,Product!B:B,"not found",0)</f>
        <v>Ritchey Timberwolf Frameset - 2016</v>
      </c>
      <c r="I1149" s="1">
        <f t="shared" si="35"/>
        <v>749.92</v>
      </c>
    </row>
    <row r="1150" spans="1:9" x14ac:dyDescent="0.2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 s="1">
        <f t="shared" si="34"/>
        <v>1199.93</v>
      </c>
      <c r="H1150" s="1" t="str">
        <f>_xlfn.XLOOKUP(C1150,Product!A:A,Product!B:B,"not found",0)</f>
        <v>Electra Townie Original 7D EQ - 2016</v>
      </c>
      <c r="I1150" s="1">
        <f t="shared" si="35"/>
        <v>1199.93</v>
      </c>
    </row>
    <row r="1151" spans="1:9" x14ac:dyDescent="0.2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 s="1">
        <f t="shared" si="34"/>
        <v>3999.89</v>
      </c>
      <c r="H1151" s="1" t="str">
        <f>_xlfn.XLOOKUP(C1151,Product!A:A,Product!B:B,"not found",0)</f>
        <v>Trek Slash 8 27.5 - 2016</v>
      </c>
      <c r="I1151" s="1">
        <f t="shared" si="35"/>
        <v>3999.89</v>
      </c>
    </row>
    <row r="1152" spans="1:9" x14ac:dyDescent="0.2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 s="1">
        <f t="shared" si="34"/>
        <v>549.91999999999996</v>
      </c>
      <c r="H1152" s="1" t="str">
        <f>_xlfn.XLOOKUP(C1152,Product!A:A,Product!B:B,"not found",0)</f>
        <v>Electra Townie Original 21D - 2016</v>
      </c>
      <c r="I1152" s="1">
        <f t="shared" si="35"/>
        <v>549.91999999999996</v>
      </c>
    </row>
    <row r="1153" spans="1:9" x14ac:dyDescent="0.2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 s="1">
        <f t="shared" si="34"/>
        <v>428.9</v>
      </c>
      <c r="H1153" s="1" t="str">
        <f>_xlfn.XLOOKUP(C1153,Product!A:A,Product!B:B,"not found",0)</f>
        <v>Pure Cycles Vine 8-Speed - 2016</v>
      </c>
      <c r="I1153" s="1">
        <f t="shared" si="35"/>
        <v>428.9</v>
      </c>
    </row>
    <row r="1154" spans="1:9" x14ac:dyDescent="0.2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 s="1">
        <f t="shared" si="34"/>
        <v>3599.93</v>
      </c>
      <c r="H1154" s="1" t="str">
        <f>_xlfn.XLOOKUP(C1154,Product!A:A,Product!B:B,"not found",0)</f>
        <v>Trek Remedy 29 Carbon Frameset - 2016</v>
      </c>
      <c r="I1154" s="1">
        <f t="shared" si="35"/>
        <v>3599.93</v>
      </c>
    </row>
    <row r="1155" spans="1:9" x14ac:dyDescent="0.2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 s="1">
        <f t="shared" ref="G1155:G1218" si="36">(E1155*D1155)-F1155</f>
        <v>499.89</v>
      </c>
      <c r="H1155" s="1" t="str">
        <f>_xlfn.XLOOKUP(C1155,Product!A:A,Product!B:B,"not found",0)</f>
        <v>Electra Townie Original 7D - 2015/2016</v>
      </c>
      <c r="I1155" s="1">
        <f t="shared" ref="I1155:I1218" si="37">(D1155*E1155)-F1155</f>
        <v>499.89</v>
      </c>
    </row>
    <row r="1156" spans="1:9" x14ac:dyDescent="0.2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 s="1">
        <f t="shared" si="36"/>
        <v>2999.9199999999996</v>
      </c>
      <c r="H1156" s="1" t="str">
        <f>_xlfn.XLOOKUP(C1156,Product!A:A,Product!B:B,"not found",0)</f>
        <v>Trek Conduit+ - 2016</v>
      </c>
      <c r="I1156" s="1">
        <f t="shared" si="37"/>
        <v>2999.9199999999996</v>
      </c>
    </row>
    <row r="1157" spans="1:9" x14ac:dyDescent="0.2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 s="1">
        <f t="shared" si="36"/>
        <v>5799.8799999999992</v>
      </c>
      <c r="H1157" s="1" t="str">
        <f>_xlfn.XLOOKUP(C1157,Product!A:A,Product!B:B,"not found",0)</f>
        <v>Trek Fuel EX 8 29 - 2016</v>
      </c>
      <c r="I1157" s="1">
        <f t="shared" si="37"/>
        <v>5799.8799999999992</v>
      </c>
    </row>
    <row r="1158" spans="1:9" x14ac:dyDescent="0.2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 s="1">
        <f t="shared" si="36"/>
        <v>999.92</v>
      </c>
      <c r="H1158" s="1" t="str">
        <f>_xlfn.XLOOKUP(C1158,Product!A:A,Product!B:B,"not found",0)</f>
        <v>Surly Wednesday Frameset - 2016</v>
      </c>
      <c r="I1158" s="1">
        <f t="shared" si="37"/>
        <v>999.92</v>
      </c>
    </row>
    <row r="1159" spans="1:9" x14ac:dyDescent="0.2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 s="1">
        <f t="shared" si="36"/>
        <v>599.78</v>
      </c>
      <c r="H1159" s="1" t="str">
        <f>_xlfn.XLOOKUP(C1159,Product!A:A,Product!B:B,"not found",0)</f>
        <v>Electra Girl's Hawaii 1 (20-inch) - 2015/2016</v>
      </c>
      <c r="I1159" s="1">
        <f t="shared" si="37"/>
        <v>599.78</v>
      </c>
    </row>
    <row r="1160" spans="1:9" x14ac:dyDescent="0.2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 s="1">
        <f t="shared" si="36"/>
        <v>1320.79</v>
      </c>
      <c r="H1160" s="1" t="str">
        <f>_xlfn.XLOOKUP(C1160,Product!A:A,Product!B:B,"not found",0)</f>
        <v>Heller Shagamaw Frame - 2016</v>
      </c>
      <c r="I1160" s="1">
        <f t="shared" si="37"/>
        <v>1320.79</v>
      </c>
    </row>
    <row r="1161" spans="1:9" x14ac:dyDescent="0.2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 s="1">
        <f t="shared" si="36"/>
        <v>939.93000000000006</v>
      </c>
      <c r="H1161" s="1" t="str">
        <f>_xlfn.XLOOKUP(C1161,Product!A:A,Product!B:B,"not found",0)</f>
        <v>Surly Ice Cream Truck Frameset - 2016</v>
      </c>
      <c r="I1161" s="1">
        <f t="shared" si="37"/>
        <v>939.93000000000006</v>
      </c>
    </row>
    <row r="1162" spans="1:9" x14ac:dyDescent="0.2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 s="1">
        <f t="shared" si="36"/>
        <v>269.92</v>
      </c>
      <c r="H1162" s="1" t="str">
        <f>_xlfn.XLOOKUP(C1162,Product!A:A,Product!B:B,"not found",0)</f>
        <v>Electra Girl's Hawaii 1 (16-inch) - 2015/2016</v>
      </c>
      <c r="I1162" s="1">
        <f t="shared" si="37"/>
        <v>269.92</v>
      </c>
    </row>
    <row r="1163" spans="1:9" x14ac:dyDescent="0.2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 s="1">
        <f t="shared" si="36"/>
        <v>269.92</v>
      </c>
      <c r="H1163" s="1" t="str">
        <f>_xlfn.XLOOKUP(C1163,Product!A:A,Product!B:B,"not found",0)</f>
        <v>Electra Girl's Hawaii 1 (16-inch) - 2015/2016</v>
      </c>
      <c r="I1163" s="1">
        <f t="shared" si="37"/>
        <v>269.92</v>
      </c>
    </row>
    <row r="1164" spans="1:9" x14ac:dyDescent="0.2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 s="1">
        <f t="shared" si="36"/>
        <v>549.89</v>
      </c>
      <c r="H1164" s="1" t="str">
        <f>_xlfn.XLOOKUP(C1164,Product!A:A,Product!B:B,"not found",0)</f>
        <v>Electra Townie Original 21D - 2016</v>
      </c>
      <c r="I1164" s="1">
        <f t="shared" si="37"/>
        <v>549.89</v>
      </c>
    </row>
    <row r="1165" spans="1:9" x14ac:dyDescent="0.2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 s="1">
        <f t="shared" si="36"/>
        <v>1199.9100000000001</v>
      </c>
      <c r="H1165" s="1" t="str">
        <f>_xlfn.XLOOKUP(C1165,Product!A:A,Product!B:B,"not found",0)</f>
        <v>Electra Townie Original 7D EQ - 2016</v>
      </c>
      <c r="I1165" s="1">
        <f t="shared" si="37"/>
        <v>1199.9100000000001</v>
      </c>
    </row>
    <row r="1166" spans="1:9" x14ac:dyDescent="0.2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 s="1">
        <f t="shared" si="36"/>
        <v>939.91</v>
      </c>
      <c r="H1166" s="1" t="str">
        <f>_xlfn.XLOOKUP(C1166,Product!A:A,Product!B:B,"not found",0)</f>
        <v>Surly Ice Cream Truck Frameset - 2016</v>
      </c>
      <c r="I1166" s="1">
        <f t="shared" si="37"/>
        <v>939.91</v>
      </c>
    </row>
    <row r="1167" spans="1:9" x14ac:dyDescent="0.2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 s="1">
        <f t="shared" si="36"/>
        <v>549.94000000000005</v>
      </c>
      <c r="H1167" s="1" t="str">
        <f>_xlfn.XLOOKUP(C1167,Product!A:A,Product!B:B,"not found",0)</f>
        <v>Electra Townie Original 21D - 2016</v>
      </c>
      <c r="I1167" s="1">
        <f t="shared" si="37"/>
        <v>549.94000000000005</v>
      </c>
    </row>
    <row r="1168" spans="1:9" x14ac:dyDescent="0.2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 s="1">
        <f t="shared" si="36"/>
        <v>599.94000000000005</v>
      </c>
      <c r="H1168" s="1" t="str">
        <f>_xlfn.XLOOKUP(C1168,Product!A:A,Product!B:B,"not found",0)</f>
        <v>Electra Townie Original 7D EQ - Women's - 2016</v>
      </c>
      <c r="I1168" s="1">
        <f t="shared" si="37"/>
        <v>599.94000000000005</v>
      </c>
    </row>
    <row r="1169" spans="1:9" x14ac:dyDescent="0.2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 s="1">
        <f t="shared" si="36"/>
        <v>2999.9399999999996</v>
      </c>
      <c r="H1169" s="1" t="str">
        <f>_xlfn.XLOOKUP(C1169,Product!A:A,Product!B:B,"not found",0)</f>
        <v>Trek Conduit+ - 2016</v>
      </c>
      <c r="I1169" s="1">
        <f t="shared" si="37"/>
        <v>2999.9399999999996</v>
      </c>
    </row>
    <row r="1170" spans="1:9" x14ac:dyDescent="0.2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 s="1">
        <f t="shared" si="36"/>
        <v>857.8</v>
      </c>
      <c r="H1170" s="1" t="str">
        <f>_xlfn.XLOOKUP(C1170,Product!A:A,Product!B:B,"not found",0)</f>
        <v>Pure Cycles Vine 8-Speed - 2016</v>
      </c>
      <c r="I1170" s="1">
        <f t="shared" si="37"/>
        <v>857.8</v>
      </c>
    </row>
    <row r="1171" spans="1:9" x14ac:dyDescent="0.2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 s="1">
        <f t="shared" si="36"/>
        <v>1059.8800000000001</v>
      </c>
      <c r="H1171" s="1" t="str">
        <f>_xlfn.XLOOKUP(C1171,Product!A:A,Product!B:B,"not found",0)</f>
        <v>Electra Moto 1 - 2016</v>
      </c>
      <c r="I1171" s="1">
        <f t="shared" si="37"/>
        <v>1059.8800000000001</v>
      </c>
    </row>
    <row r="1172" spans="1:9" x14ac:dyDescent="0.2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 s="1">
        <f t="shared" si="36"/>
        <v>1999.93</v>
      </c>
      <c r="H1172" s="1" t="str">
        <f>_xlfn.XLOOKUP(C1172,Product!A:A,Product!B:B,"not found",0)</f>
        <v>Surly Wednesday Frameset - 2016</v>
      </c>
      <c r="I1172" s="1">
        <f t="shared" si="37"/>
        <v>1999.93</v>
      </c>
    </row>
    <row r="1173" spans="1:9" x14ac:dyDescent="0.2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 s="1">
        <f t="shared" si="36"/>
        <v>939.91</v>
      </c>
      <c r="H1173" s="1" t="str">
        <f>_xlfn.XLOOKUP(C1173,Product!A:A,Product!B:B,"not found",0)</f>
        <v>Surly Ice Cream Truck Frameset - 2016</v>
      </c>
      <c r="I1173" s="1">
        <f t="shared" si="37"/>
        <v>939.91</v>
      </c>
    </row>
    <row r="1174" spans="1:9" x14ac:dyDescent="0.2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 s="1">
        <f t="shared" si="36"/>
        <v>1999.78</v>
      </c>
      <c r="H1174" s="1" t="str">
        <f>_xlfn.XLOOKUP(C1174,Product!A:A,Product!B:B,"not found",0)</f>
        <v>Surly Wednesday Frameset - 2016</v>
      </c>
      <c r="I1174" s="1">
        <f t="shared" si="37"/>
        <v>1999.78</v>
      </c>
    </row>
    <row r="1175" spans="1:9" x14ac:dyDescent="0.2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 s="1">
        <f t="shared" si="36"/>
        <v>1199.78</v>
      </c>
      <c r="H1175" s="1" t="str">
        <f>_xlfn.XLOOKUP(C1175,Product!A:A,Product!B:B,"not found",0)</f>
        <v>Electra Townie Original 7D EQ - Women's - 2016</v>
      </c>
      <c r="I1175" s="1">
        <f t="shared" si="37"/>
        <v>1199.78</v>
      </c>
    </row>
    <row r="1176" spans="1:9" x14ac:dyDescent="0.2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 s="1">
        <f t="shared" si="36"/>
        <v>2899.9199999999996</v>
      </c>
      <c r="H1176" s="1" t="str">
        <f>_xlfn.XLOOKUP(C1176,Product!A:A,Product!B:B,"not found",0)</f>
        <v>Trek Fuel EX 8 29 - 2016</v>
      </c>
      <c r="I1176" s="1">
        <f t="shared" si="37"/>
        <v>2899.9199999999996</v>
      </c>
    </row>
    <row r="1177" spans="1:9" x14ac:dyDescent="0.2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 s="1">
        <f t="shared" si="36"/>
        <v>599.78</v>
      </c>
      <c r="H1177" s="1" t="str">
        <f>_xlfn.XLOOKUP(C1177,Product!A:A,Product!B:B,"not found",0)</f>
        <v>Electra Girl's Hawaii 1 (20-inch) - 2015/2016</v>
      </c>
      <c r="I1177" s="1">
        <f t="shared" si="37"/>
        <v>599.78</v>
      </c>
    </row>
    <row r="1178" spans="1:9" x14ac:dyDescent="0.2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 s="1">
        <f t="shared" si="36"/>
        <v>1199.93</v>
      </c>
      <c r="H1178" s="1" t="str">
        <f>_xlfn.XLOOKUP(C1178,Product!A:A,Product!B:B,"not found",0)</f>
        <v>Electra Townie Original 7D EQ - Women's - 2016</v>
      </c>
      <c r="I1178" s="1">
        <f t="shared" si="37"/>
        <v>1199.93</v>
      </c>
    </row>
    <row r="1179" spans="1:9" x14ac:dyDescent="0.2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 s="1">
        <f t="shared" si="36"/>
        <v>3599.93</v>
      </c>
      <c r="H1179" s="1" t="str">
        <f>_xlfn.XLOOKUP(C1179,Product!A:A,Product!B:B,"not found",0)</f>
        <v>Trek Remedy 29 Carbon Frameset - 2016</v>
      </c>
      <c r="I1179" s="1">
        <f t="shared" si="37"/>
        <v>3599.93</v>
      </c>
    </row>
    <row r="1180" spans="1:9" x14ac:dyDescent="0.2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 s="1">
        <f t="shared" si="36"/>
        <v>428.8</v>
      </c>
      <c r="H1180" s="1" t="str">
        <f>_xlfn.XLOOKUP(C1180,Product!A:A,Product!B:B,"not found",0)</f>
        <v>Pure Cycles Vine 8-Speed - 2016</v>
      </c>
      <c r="I1180" s="1">
        <f t="shared" si="37"/>
        <v>428.8</v>
      </c>
    </row>
    <row r="1181" spans="1:9" x14ac:dyDescent="0.2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 s="1">
        <f t="shared" si="36"/>
        <v>599.91</v>
      </c>
      <c r="H1181" s="1" t="str">
        <f>_xlfn.XLOOKUP(C1181,Product!A:A,Product!B:B,"not found",0)</f>
        <v>Electra Girl's Hawaii 1 (20-inch) - 2015/2016</v>
      </c>
      <c r="I1181" s="1">
        <f t="shared" si="37"/>
        <v>599.91</v>
      </c>
    </row>
    <row r="1182" spans="1:9" x14ac:dyDescent="0.2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 s="1">
        <f t="shared" si="36"/>
        <v>749.79</v>
      </c>
      <c r="H1182" s="1" t="str">
        <f>_xlfn.XLOOKUP(C1182,Product!A:A,Product!B:B,"not found",0)</f>
        <v>Ritchey Timberwolf Frameset - 2016</v>
      </c>
      <c r="I1182" s="1">
        <f t="shared" si="37"/>
        <v>749.79</v>
      </c>
    </row>
    <row r="1183" spans="1:9" x14ac:dyDescent="0.2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 s="1">
        <f t="shared" si="36"/>
        <v>269.89</v>
      </c>
      <c r="H1183" s="1" t="str">
        <f>_xlfn.XLOOKUP(C1183,Product!A:A,Product!B:B,"not found",0)</f>
        <v>Electra Girl's Hawaii 1 (16-inch) - 2015/2016</v>
      </c>
      <c r="I1183" s="1">
        <f t="shared" si="37"/>
        <v>269.89</v>
      </c>
    </row>
    <row r="1184" spans="1:9" x14ac:dyDescent="0.2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 s="1">
        <f t="shared" si="36"/>
        <v>469.94</v>
      </c>
      <c r="H1184" s="1" t="str">
        <f>_xlfn.XLOOKUP(C1184,Product!A:A,Product!B:B,"not found",0)</f>
        <v>Surly Ice Cream Truck Frameset - 2016</v>
      </c>
      <c r="I1184" s="1">
        <f t="shared" si="37"/>
        <v>469.94</v>
      </c>
    </row>
    <row r="1185" spans="1:9" x14ac:dyDescent="0.2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 s="1">
        <f t="shared" si="36"/>
        <v>469.89</v>
      </c>
      <c r="H1185" s="1" t="str">
        <f>_xlfn.XLOOKUP(C1185,Product!A:A,Product!B:B,"not found",0)</f>
        <v>Surly Ice Cream Truck Frameset - 2016</v>
      </c>
      <c r="I1185" s="1">
        <f t="shared" si="37"/>
        <v>469.89</v>
      </c>
    </row>
    <row r="1186" spans="1:9" x14ac:dyDescent="0.2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 s="1">
        <f t="shared" si="36"/>
        <v>539.91</v>
      </c>
      <c r="H1186" s="1" t="str">
        <f>_xlfn.XLOOKUP(C1186,Product!A:A,Product!B:B,"not found",0)</f>
        <v>Electra Cruiser 1 (24-Inch) - 2016</v>
      </c>
      <c r="I1186" s="1">
        <f t="shared" si="37"/>
        <v>539.91</v>
      </c>
    </row>
    <row r="1187" spans="1:9" x14ac:dyDescent="0.2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 s="1">
        <f t="shared" si="36"/>
        <v>448.95</v>
      </c>
      <c r="H1187" s="1" t="str">
        <f>_xlfn.XLOOKUP(C1187,Product!A:A,Product!B:B,"not found",0)</f>
        <v>Pure Cycles William 3-Speed - 2016</v>
      </c>
      <c r="I1187" s="1">
        <f t="shared" si="37"/>
        <v>448.95</v>
      </c>
    </row>
    <row r="1188" spans="1:9" x14ac:dyDescent="0.2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 s="1">
        <f t="shared" si="36"/>
        <v>1548.9</v>
      </c>
      <c r="H1188" s="1" t="str">
        <f>_xlfn.XLOOKUP(C1188,Product!A:A,Product!B:B,"not found",0)</f>
        <v>Surly Straggler - 2016</v>
      </c>
      <c r="I1188" s="1">
        <f t="shared" si="37"/>
        <v>1548.9</v>
      </c>
    </row>
    <row r="1189" spans="1:9" x14ac:dyDescent="0.2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 s="1">
        <f t="shared" si="36"/>
        <v>599.93000000000006</v>
      </c>
      <c r="H1189" s="1" t="str">
        <f>_xlfn.XLOOKUP(C1189,Product!A:A,Product!B:B,"not found",0)</f>
        <v>Electra Girl's Hawaii 1 (20-inch) - 2015/2016</v>
      </c>
      <c r="I1189" s="1">
        <f t="shared" si="37"/>
        <v>599.93000000000006</v>
      </c>
    </row>
    <row r="1190" spans="1:9" x14ac:dyDescent="0.2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 s="1">
        <f t="shared" si="36"/>
        <v>1099.9100000000001</v>
      </c>
      <c r="H1190" s="1" t="str">
        <f>_xlfn.XLOOKUP(C1190,Product!A:A,Product!B:B,"not found",0)</f>
        <v>Electra Townie Original 21D - 2016</v>
      </c>
      <c r="I1190" s="1">
        <f t="shared" si="37"/>
        <v>1099.9100000000001</v>
      </c>
    </row>
    <row r="1191" spans="1:9" x14ac:dyDescent="0.2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 s="1">
        <f t="shared" si="36"/>
        <v>1059.8800000000001</v>
      </c>
      <c r="H1191" s="1" t="str">
        <f>_xlfn.XLOOKUP(C1191,Product!A:A,Product!B:B,"not found",0)</f>
        <v>Electra Moto 1 - 2016</v>
      </c>
      <c r="I1191" s="1">
        <f t="shared" si="37"/>
        <v>1059.8800000000001</v>
      </c>
    </row>
    <row r="1192" spans="1:9" x14ac:dyDescent="0.2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 s="1">
        <f t="shared" si="36"/>
        <v>1199.9100000000001</v>
      </c>
      <c r="H1192" s="1" t="str">
        <f>_xlfn.XLOOKUP(C1192,Product!A:A,Product!B:B,"not found",0)</f>
        <v>Electra Townie Original 7D EQ - 2016</v>
      </c>
      <c r="I1192" s="1">
        <f t="shared" si="37"/>
        <v>1199.9100000000001</v>
      </c>
    </row>
    <row r="1193" spans="1:9" x14ac:dyDescent="0.2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 s="1">
        <f t="shared" si="36"/>
        <v>2641.78</v>
      </c>
      <c r="H1193" s="1" t="str">
        <f>_xlfn.XLOOKUP(C1193,Product!A:A,Product!B:B,"not found",0)</f>
        <v>Heller Shagamaw Frame - 2016</v>
      </c>
      <c r="I1193" s="1">
        <f t="shared" si="37"/>
        <v>2641.78</v>
      </c>
    </row>
    <row r="1194" spans="1:9" x14ac:dyDescent="0.2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 s="1">
        <f t="shared" si="36"/>
        <v>269.79000000000002</v>
      </c>
      <c r="H1194" s="1" t="str">
        <f>_xlfn.XLOOKUP(C1194,Product!A:A,Product!B:B,"not found",0)</f>
        <v>Electra Girl's Hawaii 1 (16-inch) - 2015/2016</v>
      </c>
      <c r="I1194" s="1">
        <f t="shared" si="37"/>
        <v>269.79000000000002</v>
      </c>
    </row>
    <row r="1195" spans="1:9" x14ac:dyDescent="0.2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 s="1">
        <f t="shared" si="36"/>
        <v>1680.79</v>
      </c>
      <c r="H1195" s="1" t="str">
        <f>_xlfn.XLOOKUP(C1195,Product!A:A,Product!B:B,"not found",0)</f>
        <v>Surly Straggler 650b - 2016</v>
      </c>
      <c r="I1195" s="1">
        <f t="shared" si="37"/>
        <v>1680.79</v>
      </c>
    </row>
    <row r="1196" spans="1:9" x14ac:dyDescent="0.2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 s="1">
        <f t="shared" si="36"/>
        <v>5799.8799999999992</v>
      </c>
      <c r="H1196" s="1" t="str">
        <f>_xlfn.XLOOKUP(C1196,Product!A:A,Product!B:B,"not found",0)</f>
        <v>Trek Fuel EX 8 29 - 2016</v>
      </c>
      <c r="I1196" s="1">
        <f t="shared" si="37"/>
        <v>5799.8799999999992</v>
      </c>
    </row>
    <row r="1197" spans="1:9" x14ac:dyDescent="0.2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 s="1">
        <f t="shared" si="36"/>
        <v>2641.93</v>
      </c>
      <c r="H1197" s="1" t="str">
        <f>_xlfn.XLOOKUP(C1197,Product!A:A,Product!B:B,"not found",0)</f>
        <v>Heller Shagamaw Frame - 2016</v>
      </c>
      <c r="I1197" s="1">
        <f t="shared" si="37"/>
        <v>2641.93</v>
      </c>
    </row>
    <row r="1198" spans="1:9" x14ac:dyDescent="0.2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 s="1">
        <f t="shared" si="36"/>
        <v>469.92</v>
      </c>
      <c r="H1198" s="1" t="str">
        <f>_xlfn.XLOOKUP(C1198,Product!A:A,Product!B:B,"not found",0)</f>
        <v>Surly Ice Cream Truck Frameset - 2016</v>
      </c>
      <c r="I1198" s="1">
        <f t="shared" si="37"/>
        <v>469.92</v>
      </c>
    </row>
    <row r="1199" spans="1:9" x14ac:dyDescent="0.2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 s="1">
        <f t="shared" si="36"/>
        <v>749.89</v>
      </c>
      <c r="H1199" s="1" t="str">
        <f>_xlfn.XLOOKUP(C1199,Product!A:A,Product!B:B,"not found",0)</f>
        <v>Ritchey Timberwolf Frameset - 2016</v>
      </c>
      <c r="I1199" s="1">
        <f t="shared" si="37"/>
        <v>749.89</v>
      </c>
    </row>
    <row r="1200" spans="1:9" x14ac:dyDescent="0.2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 s="1">
        <f t="shared" si="36"/>
        <v>539.88</v>
      </c>
      <c r="H1200" s="1" t="str">
        <f>_xlfn.XLOOKUP(C1200,Product!A:A,Product!B:B,"not found",0)</f>
        <v>Electra Girl's Hawaii 1 (16-inch) - 2015/2016</v>
      </c>
      <c r="I1200" s="1">
        <f t="shared" si="37"/>
        <v>539.88</v>
      </c>
    </row>
    <row r="1201" spans="1:9" x14ac:dyDescent="0.2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 s="1">
        <f t="shared" si="36"/>
        <v>1680.92</v>
      </c>
      <c r="H1201" s="1" t="str">
        <f>_xlfn.XLOOKUP(C1201,Product!A:A,Product!B:B,"not found",0)</f>
        <v>Surly Straggler 650b - 2016</v>
      </c>
      <c r="I1201" s="1">
        <f t="shared" si="37"/>
        <v>1680.92</v>
      </c>
    </row>
    <row r="1202" spans="1:9" x14ac:dyDescent="0.2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 s="1">
        <f t="shared" si="36"/>
        <v>5799.78</v>
      </c>
      <c r="H1202" s="1" t="str">
        <f>_xlfn.XLOOKUP(C1202,Product!A:A,Product!B:B,"not found",0)</f>
        <v>Trek Fuel EX 8 29 - 2016</v>
      </c>
      <c r="I1202" s="1">
        <f t="shared" si="37"/>
        <v>5799.78</v>
      </c>
    </row>
    <row r="1203" spans="1:9" x14ac:dyDescent="0.2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 s="1">
        <f t="shared" si="36"/>
        <v>539.78</v>
      </c>
      <c r="H1203" s="1" t="str">
        <f>_xlfn.XLOOKUP(C1203,Product!A:A,Product!B:B,"not found",0)</f>
        <v>Electra Cruiser 1 (24-Inch) - 2016</v>
      </c>
      <c r="I1203" s="1">
        <f t="shared" si="37"/>
        <v>539.78</v>
      </c>
    </row>
    <row r="1204" spans="1:9" x14ac:dyDescent="0.2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 s="1">
        <f t="shared" si="36"/>
        <v>1799.79</v>
      </c>
      <c r="H1204" s="1" t="str">
        <f>_xlfn.XLOOKUP(C1204,Product!A:A,Product!B:B,"not found",0)</f>
        <v>Trek Remedy 29 Carbon Frameset - 2016</v>
      </c>
      <c r="I1204" s="1">
        <f t="shared" si="37"/>
        <v>1799.79</v>
      </c>
    </row>
    <row r="1205" spans="1:9" x14ac:dyDescent="0.2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 s="1">
        <f t="shared" si="36"/>
        <v>539.78</v>
      </c>
      <c r="H1205" s="1" t="str">
        <f>_xlfn.XLOOKUP(C1205,Product!A:A,Product!B:B,"not found",0)</f>
        <v>Electra Girl's Hawaii 1 (16-inch) - 2015/2016</v>
      </c>
      <c r="I1205" s="1">
        <f t="shared" si="37"/>
        <v>539.78</v>
      </c>
    </row>
    <row r="1206" spans="1:9" x14ac:dyDescent="0.2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 s="1">
        <f t="shared" si="36"/>
        <v>469.89</v>
      </c>
      <c r="H1206" s="1" t="str">
        <f>_xlfn.XLOOKUP(C1206,Product!A:A,Product!B:B,"not found",0)</f>
        <v>Surly Ice Cream Truck Frameset - 2016</v>
      </c>
      <c r="I1206" s="1">
        <f t="shared" si="37"/>
        <v>469.89</v>
      </c>
    </row>
    <row r="1207" spans="1:9" x14ac:dyDescent="0.2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 s="1">
        <f t="shared" si="36"/>
        <v>448.8</v>
      </c>
      <c r="H1207" s="1" t="str">
        <f>_xlfn.XLOOKUP(C1207,Product!A:A,Product!B:B,"not found",0)</f>
        <v>Pure Cycles Western 3-Speed - Women's - 2015/2016</v>
      </c>
      <c r="I1207" s="1">
        <f t="shared" si="37"/>
        <v>448.8</v>
      </c>
    </row>
    <row r="1208" spans="1:9" x14ac:dyDescent="0.2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 s="1">
        <f t="shared" si="36"/>
        <v>539.91</v>
      </c>
      <c r="H1208" s="1" t="str">
        <f>_xlfn.XLOOKUP(C1208,Product!A:A,Product!B:B,"not found",0)</f>
        <v>Electra Cruiser 1 (24-Inch) - 2016</v>
      </c>
      <c r="I1208" s="1">
        <f t="shared" si="37"/>
        <v>539.91</v>
      </c>
    </row>
    <row r="1209" spans="1:9" x14ac:dyDescent="0.2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 s="1">
        <f t="shared" si="36"/>
        <v>448.93</v>
      </c>
      <c r="H1209" s="1" t="str">
        <f>_xlfn.XLOOKUP(C1209,Product!A:A,Product!B:B,"not found",0)</f>
        <v>Pure Cycles William 3-Speed - 2016</v>
      </c>
      <c r="I1209" s="1">
        <f t="shared" si="37"/>
        <v>448.93</v>
      </c>
    </row>
    <row r="1210" spans="1:9" x14ac:dyDescent="0.2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 s="1">
        <f t="shared" si="36"/>
        <v>3097.8</v>
      </c>
      <c r="H1210" s="1" t="str">
        <f>_xlfn.XLOOKUP(C1210,Product!A:A,Product!B:B,"not found",0)</f>
        <v>Surly Straggler - 2016</v>
      </c>
      <c r="I1210" s="1">
        <f t="shared" si="37"/>
        <v>3097.8</v>
      </c>
    </row>
    <row r="1211" spans="1:9" x14ac:dyDescent="0.2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 s="1">
        <f t="shared" si="36"/>
        <v>7999.9299999999994</v>
      </c>
      <c r="H1211" s="1" t="str">
        <f>_xlfn.XLOOKUP(C1211,Product!A:A,Product!B:B,"not found",0)</f>
        <v>Trek Slash 8 27.5 - 2016</v>
      </c>
      <c r="I1211" s="1">
        <f t="shared" si="37"/>
        <v>7999.9299999999994</v>
      </c>
    </row>
    <row r="1212" spans="1:9" x14ac:dyDescent="0.2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 s="1">
        <f t="shared" si="36"/>
        <v>469.89</v>
      </c>
      <c r="H1212" s="1" t="str">
        <f>_xlfn.XLOOKUP(C1212,Product!A:A,Product!B:B,"not found",0)</f>
        <v>Surly Ice Cream Truck Frameset - 2016</v>
      </c>
      <c r="I1212" s="1">
        <f t="shared" si="37"/>
        <v>469.89</v>
      </c>
    </row>
    <row r="1213" spans="1:9" x14ac:dyDescent="0.2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 s="1">
        <f t="shared" si="36"/>
        <v>1548.8</v>
      </c>
      <c r="H1213" s="1" t="str">
        <f>_xlfn.XLOOKUP(C1213,Product!A:A,Product!B:B,"not found",0)</f>
        <v>Surly Straggler - 2016</v>
      </c>
      <c r="I1213" s="1">
        <f t="shared" si="37"/>
        <v>1548.8</v>
      </c>
    </row>
    <row r="1214" spans="1:9" x14ac:dyDescent="0.2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 s="1">
        <f t="shared" si="36"/>
        <v>549.89</v>
      </c>
      <c r="H1214" s="1" t="str">
        <f>_xlfn.XLOOKUP(C1214,Product!A:A,Product!B:B,"not found",0)</f>
        <v>Electra Townie Original 21D - 2016</v>
      </c>
      <c r="I1214" s="1">
        <f t="shared" si="37"/>
        <v>549.89</v>
      </c>
    </row>
    <row r="1215" spans="1:9" x14ac:dyDescent="0.2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 s="1">
        <f t="shared" si="36"/>
        <v>2899.79</v>
      </c>
      <c r="H1215" s="1" t="str">
        <f>_xlfn.XLOOKUP(C1215,Product!A:A,Product!B:B,"not found",0)</f>
        <v>Trek Fuel EX 8 29 - 2016</v>
      </c>
      <c r="I1215" s="1">
        <f t="shared" si="37"/>
        <v>2899.79</v>
      </c>
    </row>
    <row r="1216" spans="1:9" x14ac:dyDescent="0.2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 s="1">
        <f t="shared" si="36"/>
        <v>269.94</v>
      </c>
      <c r="H1216" s="1" t="str">
        <f>_xlfn.XLOOKUP(C1216,Product!A:A,Product!B:B,"not found",0)</f>
        <v>Electra Cruiser 1 (24-Inch) - 2016</v>
      </c>
      <c r="I1216" s="1">
        <f t="shared" si="37"/>
        <v>269.94</v>
      </c>
    </row>
    <row r="1217" spans="1:9" x14ac:dyDescent="0.2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 s="1">
        <f t="shared" si="36"/>
        <v>599.89</v>
      </c>
      <c r="H1217" s="1" t="str">
        <f>_xlfn.XLOOKUP(C1217,Product!A:A,Product!B:B,"not found",0)</f>
        <v>Electra Townie Original 7D EQ - Women's - 2016</v>
      </c>
      <c r="I1217" s="1">
        <f t="shared" si="37"/>
        <v>599.89</v>
      </c>
    </row>
    <row r="1218" spans="1:9" x14ac:dyDescent="0.2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 s="1">
        <f t="shared" si="36"/>
        <v>2999.79</v>
      </c>
      <c r="H1218" s="1" t="str">
        <f>_xlfn.XLOOKUP(C1218,Product!A:A,Product!B:B,"not found",0)</f>
        <v>Trek Conduit+ - 2016</v>
      </c>
      <c r="I1218" s="1">
        <f t="shared" si="37"/>
        <v>2999.79</v>
      </c>
    </row>
    <row r="1219" spans="1:9" x14ac:dyDescent="0.2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 s="1">
        <f t="shared" ref="G1219:G1282" si="38">(E1219*D1219)-F1219</f>
        <v>3361.91</v>
      </c>
      <c r="H1219" s="1" t="str">
        <f>_xlfn.XLOOKUP(C1219,Product!A:A,Product!B:B,"not found",0)</f>
        <v>Surly Straggler 650b - 2016</v>
      </c>
      <c r="I1219" s="1">
        <f t="shared" ref="I1219:I1282" si="39">(D1219*E1219)-F1219</f>
        <v>3361.91</v>
      </c>
    </row>
    <row r="1220" spans="1:9" x14ac:dyDescent="0.2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 s="1">
        <f t="shared" si="38"/>
        <v>897.95</v>
      </c>
      <c r="H1220" s="1" t="str">
        <f>_xlfn.XLOOKUP(C1220,Product!A:A,Product!B:B,"not found",0)</f>
        <v>Pure Cycles Western 3-Speed - Women's - 2015/2016</v>
      </c>
      <c r="I1220" s="1">
        <f t="shared" si="39"/>
        <v>897.95</v>
      </c>
    </row>
    <row r="1221" spans="1:9" x14ac:dyDescent="0.2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 s="1">
        <f t="shared" si="38"/>
        <v>269.94</v>
      </c>
      <c r="H1221" s="1" t="str">
        <f>_xlfn.XLOOKUP(C1221,Product!A:A,Product!B:B,"not found",0)</f>
        <v>Electra Girl's Hawaii 1 (16-inch) - 2015/2016</v>
      </c>
      <c r="I1221" s="1">
        <f t="shared" si="39"/>
        <v>269.94</v>
      </c>
    </row>
    <row r="1222" spans="1:9" x14ac:dyDescent="0.2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 s="1">
        <f t="shared" si="38"/>
        <v>2999.9399999999996</v>
      </c>
      <c r="H1222" s="1" t="str">
        <f>_xlfn.XLOOKUP(C1222,Product!A:A,Product!B:B,"not found",0)</f>
        <v>Trek Conduit+ - 2016</v>
      </c>
      <c r="I1222" s="1">
        <f t="shared" si="39"/>
        <v>2999.9399999999996</v>
      </c>
    </row>
    <row r="1223" spans="1:9" x14ac:dyDescent="0.2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 s="1">
        <f t="shared" si="38"/>
        <v>448.95</v>
      </c>
      <c r="H1223" s="1" t="str">
        <f>_xlfn.XLOOKUP(C1223,Product!A:A,Product!B:B,"not found",0)</f>
        <v>Pure Cycles Western 3-Speed - Women's - 2015/2016</v>
      </c>
      <c r="I1223" s="1">
        <f t="shared" si="39"/>
        <v>448.95</v>
      </c>
    </row>
    <row r="1224" spans="1:9" x14ac:dyDescent="0.2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 s="1">
        <f t="shared" si="38"/>
        <v>999.94</v>
      </c>
      <c r="H1224" s="1" t="str">
        <f>_xlfn.XLOOKUP(C1224,Product!A:A,Product!B:B,"not found",0)</f>
        <v>Surly Wednesday Frameset - 2016</v>
      </c>
      <c r="I1224" s="1">
        <f t="shared" si="39"/>
        <v>999.94</v>
      </c>
    </row>
    <row r="1225" spans="1:9" x14ac:dyDescent="0.2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 s="1">
        <f t="shared" si="38"/>
        <v>299.79000000000002</v>
      </c>
      <c r="H1225" s="1" t="str">
        <f>_xlfn.XLOOKUP(C1225,Product!A:A,Product!B:B,"not found",0)</f>
        <v>Electra Girl's Hawaii 1 (20-inch) - 2015/2016</v>
      </c>
      <c r="I1225" s="1">
        <f t="shared" si="39"/>
        <v>299.79000000000002</v>
      </c>
    </row>
    <row r="1226" spans="1:9" x14ac:dyDescent="0.2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 s="1">
        <f t="shared" si="38"/>
        <v>999.94</v>
      </c>
      <c r="H1226" s="1" t="str">
        <f>_xlfn.XLOOKUP(C1226,Product!A:A,Product!B:B,"not found",0)</f>
        <v>Surly Wednesday Frameset - 2016</v>
      </c>
      <c r="I1226" s="1">
        <f t="shared" si="39"/>
        <v>999.94</v>
      </c>
    </row>
    <row r="1227" spans="1:9" x14ac:dyDescent="0.2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 s="1">
        <f t="shared" si="38"/>
        <v>1548.95</v>
      </c>
      <c r="H1227" s="1" t="str">
        <f>_xlfn.XLOOKUP(C1227,Product!A:A,Product!B:B,"not found",0)</f>
        <v>Surly Straggler - 2016</v>
      </c>
      <c r="I1227" s="1">
        <f t="shared" si="39"/>
        <v>1548.95</v>
      </c>
    </row>
    <row r="1228" spans="1:9" x14ac:dyDescent="0.2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 s="1">
        <f t="shared" si="38"/>
        <v>3599.93</v>
      </c>
      <c r="H1228" s="1" t="str">
        <f>_xlfn.XLOOKUP(C1228,Product!A:A,Product!B:B,"not found",0)</f>
        <v>Trek Remedy 29 Carbon Frameset - 2016</v>
      </c>
      <c r="I1228" s="1">
        <f t="shared" si="39"/>
        <v>3599.93</v>
      </c>
    </row>
    <row r="1229" spans="1:9" x14ac:dyDescent="0.2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 s="1">
        <f t="shared" si="38"/>
        <v>2899.9199999999996</v>
      </c>
      <c r="H1229" s="1" t="str">
        <f>_xlfn.XLOOKUP(C1229,Product!A:A,Product!B:B,"not found",0)</f>
        <v>Trek Fuel EX 8 29 - 2016</v>
      </c>
      <c r="I1229" s="1">
        <f t="shared" si="39"/>
        <v>2899.9199999999996</v>
      </c>
    </row>
    <row r="1230" spans="1:9" x14ac:dyDescent="0.2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 s="1">
        <f t="shared" si="38"/>
        <v>269.89</v>
      </c>
      <c r="H1230" s="1" t="str">
        <f>_xlfn.XLOOKUP(C1230,Product!A:A,Product!B:B,"not found",0)</f>
        <v>Electra Girl's Hawaii 1 (16-inch) - 2015/2016</v>
      </c>
      <c r="I1230" s="1">
        <f t="shared" si="39"/>
        <v>269.89</v>
      </c>
    </row>
    <row r="1231" spans="1:9" x14ac:dyDescent="0.2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 s="1">
        <f t="shared" si="38"/>
        <v>3599.93</v>
      </c>
      <c r="H1231" s="1" t="str">
        <f>_xlfn.XLOOKUP(C1231,Product!A:A,Product!B:B,"not found",0)</f>
        <v>Trek Remedy 29 Carbon Frameset - 2016</v>
      </c>
      <c r="I1231" s="1">
        <f t="shared" si="39"/>
        <v>3599.93</v>
      </c>
    </row>
    <row r="1232" spans="1:9" x14ac:dyDescent="0.2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 s="1">
        <f t="shared" si="38"/>
        <v>539.93000000000006</v>
      </c>
      <c r="H1232" s="1" t="str">
        <f>_xlfn.XLOOKUP(C1232,Product!A:A,Product!B:B,"not found",0)</f>
        <v>Electra Cruiser 1 (24-Inch) - 2016</v>
      </c>
      <c r="I1232" s="1">
        <f t="shared" si="39"/>
        <v>539.93000000000006</v>
      </c>
    </row>
    <row r="1233" spans="1:9" x14ac:dyDescent="0.2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 s="1">
        <f t="shared" si="38"/>
        <v>939.91</v>
      </c>
      <c r="H1233" s="1" t="str">
        <f>_xlfn.XLOOKUP(C1233,Product!A:A,Product!B:B,"not found",0)</f>
        <v>Surly Ice Cream Truck Frameset - 2016</v>
      </c>
      <c r="I1233" s="1">
        <f t="shared" si="39"/>
        <v>939.91</v>
      </c>
    </row>
    <row r="1234" spans="1:9" x14ac:dyDescent="0.2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 s="1">
        <f t="shared" si="38"/>
        <v>7999.9299999999994</v>
      </c>
      <c r="H1234" s="1" t="str">
        <f>_xlfn.XLOOKUP(C1234,Product!A:A,Product!B:B,"not found",0)</f>
        <v>Trek Slash 8 27.5 - 2016</v>
      </c>
      <c r="I1234" s="1">
        <f t="shared" si="39"/>
        <v>7999.9299999999994</v>
      </c>
    </row>
    <row r="1235" spans="1:9" x14ac:dyDescent="0.2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 s="1">
        <f t="shared" si="38"/>
        <v>897.93</v>
      </c>
      <c r="H1235" s="1" t="str">
        <f>_xlfn.XLOOKUP(C1235,Product!A:A,Product!B:B,"not found",0)</f>
        <v>Pure Cycles William 3-Speed - 2016</v>
      </c>
      <c r="I1235" s="1">
        <f t="shared" si="39"/>
        <v>897.93</v>
      </c>
    </row>
    <row r="1236" spans="1:9" x14ac:dyDescent="0.2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 s="1">
        <f t="shared" si="38"/>
        <v>5799.91</v>
      </c>
      <c r="H1236" s="1" t="str">
        <f>_xlfn.XLOOKUP(C1236,Product!A:A,Product!B:B,"not found",0)</f>
        <v>Trek Fuel EX 8 29 - 2016</v>
      </c>
      <c r="I1236" s="1">
        <f t="shared" si="39"/>
        <v>5799.91</v>
      </c>
    </row>
    <row r="1237" spans="1:9" x14ac:dyDescent="0.2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 s="1">
        <f t="shared" si="38"/>
        <v>549.91999999999996</v>
      </c>
      <c r="H1237" s="1" t="str">
        <f>_xlfn.XLOOKUP(C1237,Product!A:A,Product!B:B,"not found",0)</f>
        <v>Electra Townie Original 21D - 2016</v>
      </c>
      <c r="I1237" s="1">
        <f t="shared" si="39"/>
        <v>549.91999999999996</v>
      </c>
    </row>
    <row r="1238" spans="1:9" x14ac:dyDescent="0.2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 s="1">
        <f t="shared" si="38"/>
        <v>529.89</v>
      </c>
      <c r="H1238" s="1" t="str">
        <f>_xlfn.XLOOKUP(C1238,Product!A:A,Product!B:B,"not found",0)</f>
        <v>Electra Moto 1 - 2016</v>
      </c>
      <c r="I1238" s="1">
        <f t="shared" si="39"/>
        <v>529.89</v>
      </c>
    </row>
    <row r="1239" spans="1:9" x14ac:dyDescent="0.2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 s="1">
        <f t="shared" si="38"/>
        <v>1199.9100000000001</v>
      </c>
      <c r="H1239" s="1" t="str">
        <f>_xlfn.XLOOKUP(C1239,Product!A:A,Product!B:B,"not found",0)</f>
        <v>Electra Townie Original 7D EQ - 2016</v>
      </c>
      <c r="I1239" s="1">
        <f t="shared" si="39"/>
        <v>1199.9100000000001</v>
      </c>
    </row>
    <row r="1240" spans="1:9" x14ac:dyDescent="0.2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 s="1">
        <f t="shared" si="38"/>
        <v>1199.78</v>
      </c>
      <c r="H1240" s="1" t="str">
        <f>_xlfn.XLOOKUP(C1240,Product!A:A,Product!B:B,"not found",0)</f>
        <v>Electra Townie Original 7D EQ - 2016</v>
      </c>
      <c r="I1240" s="1">
        <f t="shared" si="39"/>
        <v>1199.78</v>
      </c>
    </row>
    <row r="1241" spans="1:9" x14ac:dyDescent="0.2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 s="1">
        <f t="shared" si="38"/>
        <v>939.78</v>
      </c>
      <c r="H1241" s="1" t="str">
        <f>_xlfn.XLOOKUP(C1241,Product!A:A,Product!B:B,"not found",0)</f>
        <v>Surly Ice Cream Truck Frameset - 2016</v>
      </c>
      <c r="I1241" s="1">
        <f t="shared" si="39"/>
        <v>939.78</v>
      </c>
    </row>
    <row r="1242" spans="1:9" x14ac:dyDescent="0.2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 s="1">
        <f t="shared" si="38"/>
        <v>1320.94</v>
      </c>
      <c r="H1242" s="1" t="str">
        <f>_xlfn.XLOOKUP(C1242,Product!A:A,Product!B:B,"not found",0)</f>
        <v>Heller Shagamaw Frame - 2016</v>
      </c>
      <c r="I1242" s="1">
        <f t="shared" si="39"/>
        <v>1320.94</v>
      </c>
    </row>
    <row r="1243" spans="1:9" x14ac:dyDescent="0.2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 s="1">
        <f t="shared" si="38"/>
        <v>599.79</v>
      </c>
      <c r="H1243" s="1" t="str">
        <f>_xlfn.XLOOKUP(C1243,Product!A:A,Product!B:B,"not found",0)</f>
        <v>Electra Townie Original 7D EQ - 2016</v>
      </c>
      <c r="I1243" s="1">
        <f t="shared" si="39"/>
        <v>599.79</v>
      </c>
    </row>
    <row r="1244" spans="1:9" x14ac:dyDescent="0.2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 s="1">
        <f t="shared" si="38"/>
        <v>269.92</v>
      </c>
      <c r="H1244" s="1" t="str">
        <f>_xlfn.XLOOKUP(C1244,Product!A:A,Product!B:B,"not found",0)</f>
        <v>Electra Girl's Hawaii 1 (16-inch) - 2015/2016</v>
      </c>
      <c r="I1244" s="1">
        <f t="shared" si="39"/>
        <v>269.92</v>
      </c>
    </row>
    <row r="1245" spans="1:9" x14ac:dyDescent="0.2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 s="1">
        <f t="shared" si="38"/>
        <v>1059.9100000000001</v>
      </c>
      <c r="H1245" s="1" t="str">
        <f>_xlfn.XLOOKUP(C1245,Product!A:A,Product!B:B,"not found",0)</f>
        <v>Electra Moto 1 - 2016</v>
      </c>
      <c r="I1245" s="1">
        <f t="shared" si="39"/>
        <v>1059.9100000000001</v>
      </c>
    </row>
    <row r="1246" spans="1:9" x14ac:dyDescent="0.2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 s="1">
        <f t="shared" si="38"/>
        <v>1199.93</v>
      </c>
      <c r="H1246" s="1" t="str">
        <f>_xlfn.XLOOKUP(C1246,Product!A:A,Product!B:B,"not found",0)</f>
        <v>Electra Townie Original 7D EQ - Women's - 2016</v>
      </c>
      <c r="I1246" s="1">
        <f t="shared" si="39"/>
        <v>1199.93</v>
      </c>
    </row>
    <row r="1247" spans="1:9" x14ac:dyDescent="0.2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 s="1">
        <f t="shared" si="38"/>
        <v>599.89</v>
      </c>
      <c r="H1247" s="1" t="str">
        <f>_xlfn.XLOOKUP(C1247,Product!A:A,Product!B:B,"not found",0)</f>
        <v>Electra Townie Original 7D EQ - 2016</v>
      </c>
      <c r="I1247" s="1">
        <f t="shared" si="39"/>
        <v>599.89</v>
      </c>
    </row>
    <row r="1248" spans="1:9" x14ac:dyDescent="0.2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 s="1">
        <f t="shared" si="38"/>
        <v>3097.8</v>
      </c>
      <c r="H1248" s="1" t="str">
        <f>_xlfn.XLOOKUP(C1248,Product!A:A,Product!B:B,"not found",0)</f>
        <v>Surly Straggler - 2016</v>
      </c>
      <c r="I1248" s="1">
        <f t="shared" si="39"/>
        <v>3097.8</v>
      </c>
    </row>
    <row r="1249" spans="1:9" x14ac:dyDescent="0.2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 s="1">
        <f t="shared" si="38"/>
        <v>3999.79</v>
      </c>
      <c r="H1249" s="1" t="str">
        <f>_xlfn.XLOOKUP(C1249,Product!A:A,Product!B:B,"not found",0)</f>
        <v>Trek Slash 8 27.5 - 2016</v>
      </c>
      <c r="I1249" s="1">
        <f t="shared" si="39"/>
        <v>3999.79</v>
      </c>
    </row>
    <row r="1250" spans="1:9" x14ac:dyDescent="0.2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 s="1">
        <f t="shared" si="38"/>
        <v>599.91999999999996</v>
      </c>
      <c r="H1250" s="1" t="str">
        <f>_xlfn.XLOOKUP(C1250,Product!A:A,Product!B:B,"not found",0)</f>
        <v>Electra Townie Original 7D EQ - 2016</v>
      </c>
      <c r="I1250" s="1">
        <f t="shared" si="39"/>
        <v>599.91999999999996</v>
      </c>
    </row>
    <row r="1251" spans="1:9" x14ac:dyDescent="0.2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 s="1">
        <f t="shared" si="38"/>
        <v>299.79000000000002</v>
      </c>
      <c r="H1251" s="1" t="str">
        <f>_xlfn.XLOOKUP(C1251,Product!A:A,Product!B:B,"not found",0)</f>
        <v>Electra Girl's Hawaii 1 (20-inch) - 2015/2016</v>
      </c>
      <c r="I1251" s="1">
        <f t="shared" si="39"/>
        <v>299.79000000000002</v>
      </c>
    </row>
    <row r="1252" spans="1:9" x14ac:dyDescent="0.2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 s="1">
        <f t="shared" si="38"/>
        <v>269.79000000000002</v>
      </c>
      <c r="H1252" s="1" t="str">
        <f>_xlfn.XLOOKUP(C1252,Product!A:A,Product!B:B,"not found",0)</f>
        <v>Electra Girl's Hawaii 1 (16-inch) - 2015/2016</v>
      </c>
      <c r="I1252" s="1">
        <f t="shared" si="39"/>
        <v>269.79000000000002</v>
      </c>
    </row>
    <row r="1253" spans="1:9" x14ac:dyDescent="0.2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 s="1">
        <f t="shared" si="38"/>
        <v>1199.9100000000001</v>
      </c>
      <c r="H1253" s="1" t="str">
        <f>_xlfn.XLOOKUP(C1253,Product!A:A,Product!B:B,"not found",0)</f>
        <v>Electra Townie Original 7D EQ - 2016</v>
      </c>
      <c r="I1253" s="1">
        <f t="shared" si="39"/>
        <v>1199.9100000000001</v>
      </c>
    </row>
    <row r="1254" spans="1:9" x14ac:dyDescent="0.2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 s="1">
        <f t="shared" si="38"/>
        <v>5799.9299999999994</v>
      </c>
      <c r="H1254" s="1" t="str">
        <f>_xlfn.XLOOKUP(C1254,Product!A:A,Product!B:B,"not found",0)</f>
        <v>Trek Fuel EX 8 29 - 2016</v>
      </c>
      <c r="I1254" s="1">
        <f t="shared" si="39"/>
        <v>5799.9299999999994</v>
      </c>
    </row>
    <row r="1255" spans="1:9" x14ac:dyDescent="0.2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 s="1">
        <f t="shared" si="38"/>
        <v>999.89</v>
      </c>
      <c r="H1255" s="1" t="str">
        <f>_xlfn.XLOOKUP(C1255,Product!A:A,Product!B:B,"not found",0)</f>
        <v>Surly Wednesday Frameset - 2016</v>
      </c>
      <c r="I1255" s="1">
        <f t="shared" si="39"/>
        <v>999.89</v>
      </c>
    </row>
    <row r="1256" spans="1:9" x14ac:dyDescent="0.2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 s="1">
        <f t="shared" si="38"/>
        <v>1799.92</v>
      </c>
      <c r="H1256" s="1" t="str">
        <f>_xlfn.XLOOKUP(C1256,Product!A:A,Product!B:B,"not found",0)</f>
        <v>Trek Remedy 29 Carbon Frameset - 2016</v>
      </c>
      <c r="I1256" s="1">
        <f t="shared" si="39"/>
        <v>1799.92</v>
      </c>
    </row>
    <row r="1257" spans="1:9" x14ac:dyDescent="0.2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 s="1">
        <f t="shared" si="38"/>
        <v>539.93000000000006</v>
      </c>
      <c r="H1257" s="1" t="str">
        <f>_xlfn.XLOOKUP(C1257,Product!A:A,Product!B:B,"not found",0)</f>
        <v>Electra Cruiser 1 (24-Inch) - 2016</v>
      </c>
      <c r="I1257" s="1">
        <f t="shared" si="39"/>
        <v>539.93000000000006</v>
      </c>
    </row>
    <row r="1258" spans="1:9" x14ac:dyDescent="0.2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 s="1">
        <f t="shared" si="38"/>
        <v>939.93000000000006</v>
      </c>
      <c r="H1258" s="1" t="str">
        <f>_xlfn.XLOOKUP(C1258,Product!A:A,Product!B:B,"not found",0)</f>
        <v>Surly Ice Cream Truck Frameset - 2016</v>
      </c>
      <c r="I1258" s="1">
        <f t="shared" si="39"/>
        <v>939.93000000000006</v>
      </c>
    </row>
    <row r="1259" spans="1:9" x14ac:dyDescent="0.2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 s="1">
        <f t="shared" si="38"/>
        <v>857.95</v>
      </c>
      <c r="H1259" s="1" t="str">
        <f>_xlfn.XLOOKUP(C1259,Product!A:A,Product!B:B,"not found",0)</f>
        <v>Pure Cycles Vine 8-Speed - 2016</v>
      </c>
      <c r="I1259" s="1">
        <f t="shared" si="39"/>
        <v>857.95</v>
      </c>
    </row>
    <row r="1260" spans="1:9" x14ac:dyDescent="0.2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 s="1">
        <f t="shared" si="38"/>
        <v>749.94</v>
      </c>
      <c r="H1260" s="1" t="str">
        <f>_xlfn.XLOOKUP(C1260,Product!A:A,Product!B:B,"not found",0)</f>
        <v>Ritchey Timberwolf Frameset - 2016</v>
      </c>
      <c r="I1260" s="1">
        <f t="shared" si="39"/>
        <v>749.94</v>
      </c>
    </row>
    <row r="1261" spans="1:9" x14ac:dyDescent="0.2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 s="1">
        <f t="shared" si="38"/>
        <v>7999.91</v>
      </c>
      <c r="H1261" s="1" t="str">
        <f>_xlfn.XLOOKUP(C1261,Product!A:A,Product!B:B,"not found",0)</f>
        <v>Trek Slash 8 27.5 - 2016</v>
      </c>
      <c r="I1261" s="1">
        <f t="shared" si="39"/>
        <v>7999.91</v>
      </c>
    </row>
    <row r="1262" spans="1:9" x14ac:dyDescent="0.2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 s="1">
        <f t="shared" si="38"/>
        <v>1199.78</v>
      </c>
      <c r="H1262" s="1" t="str">
        <f>_xlfn.XLOOKUP(C1262,Product!A:A,Product!B:B,"not found",0)</f>
        <v>Electra Townie Original 7D EQ - 2016</v>
      </c>
      <c r="I1262" s="1">
        <f t="shared" si="39"/>
        <v>1199.78</v>
      </c>
    </row>
    <row r="1263" spans="1:9" x14ac:dyDescent="0.2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 s="1">
        <f t="shared" si="38"/>
        <v>549.94000000000005</v>
      </c>
      <c r="H1263" s="1" t="str">
        <f>_xlfn.XLOOKUP(C1263,Product!A:A,Product!B:B,"not found",0)</f>
        <v>Electra Townie Original 21D - 2016</v>
      </c>
      <c r="I1263" s="1">
        <f t="shared" si="39"/>
        <v>549.94000000000005</v>
      </c>
    </row>
    <row r="1264" spans="1:9" x14ac:dyDescent="0.2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 s="1">
        <f t="shared" si="38"/>
        <v>549.91999999999996</v>
      </c>
      <c r="H1264" s="1" t="str">
        <f>_xlfn.XLOOKUP(C1264,Product!A:A,Product!B:B,"not found",0)</f>
        <v>Electra Townie Original 21D - 2016</v>
      </c>
      <c r="I1264" s="1">
        <f t="shared" si="39"/>
        <v>549.91999999999996</v>
      </c>
    </row>
    <row r="1265" spans="1:9" x14ac:dyDescent="0.2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 s="1">
        <f t="shared" si="38"/>
        <v>1320.89</v>
      </c>
      <c r="H1265" s="1" t="str">
        <f>_xlfn.XLOOKUP(C1265,Product!A:A,Product!B:B,"not found",0)</f>
        <v>Heller Shagamaw Frame - 2016</v>
      </c>
      <c r="I1265" s="1">
        <f t="shared" si="39"/>
        <v>1320.89</v>
      </c>
    </row>
    <row r="1266" spans="1:9" x14ac:dyDescent="0.2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 s="1">
        <f t="shared" si="38"/>
        <v>539.93000000000006</v>
      </c>
      <c r="H1266" s="1" t="str">
        <f>_xlfn.XLOOKUP(C1266,Product!A:A,Product!B:B,"not found",0)</f>
        <v>Electra Girl's Hawaii 1 (16-inch) - 2015/2016</v>
      </c>
      <c r="I1266" s="1">
        <f t="shared" si="39"/>
        <v>539.93000000000006</v>
      </c>
    </row>
    <row r="1267" spans="1:9" x14ac:dyDescent="0.2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 s="1">
        <f t="shared" si="38"/>
        <v>1680.94</v>
      </c>
      <c r="H1267" s="1" t="str">
        <f>_xlfn.XLOOKUP(C1267,Product!A:A,Product!B:B,"not found",0)</f>
        <v>Surly Straggler 650b - 2016</v>
      </c>
      <c r="I1267" s="1">
        <f t="shared" si="39"/>
        <v>1680.94</v>
      </c>
    </row>
    <row r="1268" spans="1:9" x14ac:dyDescent="0.2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 s="1">
        <f t="shared" si="38"/>
        <v>599.94000000000005</v>
      </c>
      <c r="H1268" s="1" t="str">
        <f>_xlfn.XLOOKUP(C1268,Product!A:A,Product!B:B,"not found",0)</f>
        <v>Electra Townie Original 7D EQ - 2016</v>
      </c>
      <c r="I1268" s="1">
        <f t="shared" si="39"/>
        <v>599.94000000000005</v>
      </c>
    </row>
    <row r="1269" spans="1:9" x14ac:dyDescent="0.2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 s="1">
        <f t="shared" si="38"/>
        <v>7999.8799999999992</v>
      </c>
      <c r="H1269" s="1" t="str">
        <f>_xlfn.XLOOKUP(C1269,Product!A:A,Product!B:B,"not found",0)</f>
        <v>Trek Slash 8 27.5 - 2016</v>
      </c>
      <c r="I1269" s="1">
        <f t="shared" si="39"/>
        <v>7999.8799999999992</v>
      </c>
    </row>
    <row r="1270" spans="1:9" x14ac:dyDescent="0.2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 s="1">
        <f t="shared" si="38"/>
        <v>1799.89</v>
      </c>
      <c r="H1270" s="1" t="str">
        <f>_xlfn.XLOOKUP(C1270,Product!A:A,Product!B:B,"not found",0)</f>
        <v>Trek Remedy 29 Carbon Frameset - 2016</v>
      </c>
      <c r="I1270" s="1">
        <f t="shared" si="39"/>
        <v>1799.89</v>
      </c>
    </row>
    <row r="1271" spans="1:9" x14ac:dyDescent="0.2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 s="1">
        <f t="shared" si="38"/>
        <v>299.94</v>
      </c>
      <c r="H1271" s="1" t="str">
        <f>_xlfn.XLOOKUP(C1271,Product!A:A,Product!B:B,"not found",0)</f>
        <v>Electra Girl's Hawaii 1 (20-inch) - 2015/2016</v>
      </c>
      <c r="I1271" s="1">
        <f t="shared" si="39"/>
        <v>299.94</v>
      </c>
    </row>
    <row r="1272" spans="1:9" x14ac:dyDescent="0.2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 s="1">
        <f t="shared" si="38"/>
        <v>1199.78</v>
      </c>
      <c r="H1272" s="1" t="str">
        <f>_xlfn.XLOOKUP(C1272,Product!A:A,Product!B:B,"not found",0)</f>
        <v>Electra Townie Original 7D EQ - Women's - 2016</v>
      </c>
      <c r="I1272" s="1">
        <f t="shared" si="39"/>
        <v>1199.78</v>
      </c>
    </row>
    <row r="1273" spans="1:9" x14ac:dyDescent="0.2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 s="1">
        <f t="shared" si="38"/>
        <v>2899.79</v>
      </c>
      <c r="H1273" s="1" t="str">
        <f>_xlfn.XLOOKUP(C1273,Product!A:A,Product!B:B,"not found",0)</f>
        <v>Trek Fuel EX 8 29 - 2016</v>
      </c>
      <c r="I1273" s="1">
        <f t="shared" si="39"/>
        <v>2899.79</v>
      </c>
    </row>
    <row r="1274" spans="1:9" x14ac:dyDescent="0.2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 s="1">
        <f t="shared" si="38"/>
        <v>999.91</v>
      </c>
      <c r="H1274" s="1" t="str">
        <f>_xlfn.XLOOKUP(C1274,Product!A:A,Product!B:B,"not found",0)</f>
        <v>Electra Townie Original 7D - 2015/2016</v>
      </c>
      <c r="I1274" s="1">
        <f t="shared" si="39"/>
        <v>999.91</v>
      </c>
    </row>
    <row r="1275" spans="1:9" x14ac:dyDescent="0.2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 s="1">
        <f t="shared" si="38"/>
        <v>539.93000000000006</v>
      </c>
      <c r="H1275" s="1" t="str">
        <f>_xlfn.XLOOKUP(C1275,Product!A:A,Product!B:B,"not found",0)</f>
        <v>Electra Cruiser 1 (24-Inch) - 2016</v>
      </c>
      <c r="I1275" s="1">
        <f t="shared" si="39"/>
        <v>539.93000000000006</v>
      </c>
    </row>
    <row r="1276" spans="1:9" x14ac:dyDescent="0.2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 s="1">
        <f t="shared" si="38"/>
        <v>1099.8800000000001</v>
      </c>
      <c r="H1276" s="1" t="str">
        <f>_xlfn.XLOOKUP(C1276,Product!A:A,Product!B:B,"not found",0)</f>
        <v>Electra Townie Original 21D - 2016</v>
      </c>
      <c r="I1276" s="1">
        <f t="shared" si="39"/>
        <v>1099.8800000000001</v>
      </c>
    </row>
    <row r="1277" spans="1:9" x14ac:dyDescent="0.2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 s="1">
        <f t="shared" si="38"/>
        <v>2999.9399999999996</v>
      </c>
      <c r="H1277" s="1" t="str">
        <f>_xlfn.XLOOKUP(C1277,Product!A:A,Product!B:B,"not found",0)</f>
        <v>Trek Conduit+ - 2016</v>
      </c>
      <c r="I1277" s="1">
        <f t="shared" si="39"/>
        <v>2999.9399999999996</v>
      </c>
    </row>
    <row r="1278" spans="1:9" x14ac:dyDescent="0.2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 s="1">
        <f t="shared" si="38"/>
        <v>857.93</v>
      </c>
      <c r="H1278" s="1" t="str">
        <f>_xlfn.XLOOKUP(C1278,Product!A:A,Product!B:B,"not found",0)</f>
        <v>Pure Cycles Vine 8-Speed - 2016</v>
      </c>
      <c r="I1278" s="1">
        <f t="shared" si="39"/>
        <v>857.93</v>
      </c>
    </row>
    <row r="1279" spans="1:9" x14ac:dyDescent="0.2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 s="1">
        <f t="shared" si="38"/>
        <v>299.92</v>
      </c>
      <c r="H1279" s="1" t="str">
        <f>_xlfn.XLOOKUP(C1279,Product!A:A,Product!B:B,"not found",0)</f>
        <v>Electra Girl's Hawaii 1 (20-inch) - 2015/2016</v>
      </c>
      <c r="I1279" s="1">
        <f t="shared" si="39"/>
        <v>299.92</v>
      </c>
    </row>
    <row r="1280" spans="1:9" x14ac:dyDescent="0.2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 s="1">
        <f t="shared" si="38"/>
        <v>1099.9100000000001</v>
      </c>
      <c r="H1280" s="1" t="str">
        <f>_xlfn.XLOOKUP(C1280,Product!A:A,Product!B:B,"not found",0)</f>
        <v>Electra Townie Original 21D - 2016</v>
      </c>
      <c r="I1280" s="1">
        <f t="shared" si="39"/>
        <v>1099.9100000000001</v>
      </c>
    </row>
    <row r="1281" spans="1:9" x14ac:dyDescent="0.2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 s="1">
        <f t="shared" si="38"/>
        <v>749.94</v>
      </c>
      <c r="H1281" s="1" t="str">
        <f>_xlfn.XLOOKUP(C1281,Product!A:A,Product!B:B,"not found",0)</f>
        <v>Ritchey Timberwolf Frameset - 2016</v>
      </c>
      <c r="I1281" s="1">
        <f t="shared" si="39"/>
        <v>749.94</v>
      </c>
    </row>
    <row r="1282" spans="1:9" x14ac:dyDescent="0.2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 s="1">
        <f t="shared" si="38"/>
        <v>7999.8799999999992</v>
      </c>
      <c r="H1282" s="1" t="str">
        <f>_xlfn.XLOOKUP(C1282,Product!A:A,Product!B:B,"not found",0)</f>
        <v>Trek Slash 8 27.5 - 2016</v>
      </c>
      <c r="I1282" s="1">
        <f t="shared" si="39"/>
        <v>7999.8799999999992</v>
      </c>
    </row>
    <row r="1283" spans="1:9" x14ac:dyDescent="0.2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 s="1">
        <f t="shared" ref="G1283:G1346" si="40">(E1283*D1283)-F1283</f>
        <v>428.8</v>
      </c>
      <c r="H1283" s="1" t="str">
        <f>_xlfn.XLOOKUP(C1283,Product!A:A,Product!B:B,"not found",0)</f>
        <v>Pure Cycles Vine 8-Speed - 2016</v>
      </c>
      <c r="I1283" s="1">
        <f t="shared" ref="I1283:I1346" si="41">(D1283*E1283)-F1283</f>
        <v>428.8</v>
      </c>
    </row>
    <row r="1284" spans="1:9" x14ac:dyDescent="0.2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 s="1">
        <f t="shared" si="40"/>
        <v>749.79</v>
      </c>
      <c r="H1284" s="1" t="str">
        <f>_xlfn.XLOOKUP(C1284,Product!A:A,Product!B:B,"not found",0)</f>
        <v>Ritchey Timberwolf Frameset - 2016</v>
      </c>
      <c r="I1284" s="1">
        <f t="shared" si="41"/>
        <v>749.79</v>
      </c>
    </row>
    <row r="1285" spans="1:9" x14ac:dyDescent="0.2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 s="1">
        <f t="shared" si="40"/>
        <v>539.91</v>
      </c>
      <c r="H1285" s="1" t="str">
        <f>_xlfn.XLOOKUP(C1285,Product!A:A,Product!B:B,"not found",0)</f>
        <v>Electra Cruiser 1 (24-Inch) - 2016</v>
      </c>
      <c r="I1285" s="1">
        <f t="shared" si="41"/>
        <v>539.91</v>
      </c>
    </row>
    <row r="1286" spans="1:9" x14ac:dyDescent="0.2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 s="1">
        <f t="shared" si="40"/>
        <v>1680.89</v>
      </c>
      <c r="H1286" s="1" t="str">
        <f>_xlfn.XLOOKUP(C1286,Product!A:A,Product!B:B,"not found",0)</f>
        <v>Surly Straggler 650b - 2016</v>
      </c>
      <c r="I1286" s="1">
        <f t="shared" si="41"/>
        <v>1680.89</v>
      </c>
    </row>
    <row r="1287" spans="1:9" x14ac:dyDescent="0.2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 s="1">
        <f t="shared" si="40"/>
        <v>549.79</v>
      </c>
      <c r="H1287" s="1" t="str">
        <f>_xlfn.XLOOKUP(C1287,Product!A:A,Product!B:B,"not found",0)</f>
        <v>Electra Townie Original 21D - 2016</v>
      </c>
      <c r="I1287" s="1">
        <f t="shared" si="41"/>
        <v>549.79</v>
      </c>
    </row>
    <row r="1288" spans="1:9" x14ac:dyDescent="0.2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 s="1">
        <f t="shared" si="40"/>
        <v>1999.78</v>
      </c>
      <c r="H1288" s="1" t="str">
        <f>_xlfn.XLOOKUP(C1288,Product!A:A,Product!B:B,"not found",0)</f>
        <v>Surly Wednesday Frameset - 2016</v>
      </c>
      <c r="I1288" s="1">
        <f t="shared" si="41"/>
        <v>1999.78</v>
      </c>
    </row>
    <row r="1289" spans="1:9" x14ac:dyDescent="0.2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 s="1">
        <f t="shared" si="40"/>
        <v>1680.79</v>
      </c>
      <c r="H1289" s="1" t="str">
        <f>_xlfn.XLOOKUP(C1289,Product!A:A,Product!B:B,"not found",0)</f>
        <v>Surly Straggler 650b - 2016</v>
      </c>
      <c r="I1289" s="1">
        <f t="shared" si="41"/>
        <v>1680.79</v>
      </c>
    </row>
    <row r="1290" spans="1:9" x14ac:dyDescent="0.2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 s="1">
        <f t="shared" si="40"/>
        <v>448.95</v>
      </c>
      <c r="H1290" s="1" t="str">
        <f>_xlfn.XLOOKUP(C1290,Product!A:A,Product!B:B,"not found",0)</f>
        <v>Pure Cycles William 3-Speed - 2016</v>
      </c>
      <c r="I1290" s="1">
        <f t="shared" si="41"/>
        <v>448.95</v>
      </c>
    </row>
    <row r="1291" spans="1:9" x14ac:dyDescent="0.2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 s="1">
        <f t="shared" si="40"/>
        <v>897.93</v>
      </c>
      <c r="H1291" s="1" t="str">
        <f>_xlfn.XLOOKUP(C1291,Product!A:A,Product!B:B,"not found",0)</f>
        <v>Pure Cycles Western 3-Speed - Women's - 2015/2016</v>
      </c>
      <c r="I1291" s="1">
        <f t="shared" si="41"/>
        <v>897.93</v>
      </c>
    </row>
    <row r="1292" spans="1:9" x14ac:dyDescent="0.2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 s="1">
        <f t="shared" si="40"/>
        <v>2899.79</v>
      </c>
      <c r="H1292" s="1" t="str">
        <f>_xlfn.XLOOKUP(C1292,Product!A:A,Product!B:B,"not found",0)</f>
        <v>Trek Fuel EX 8 29 - 2016</v>
      </c>
      <c r="I1292" s="1">
        <f t="shared" si="41"/>
        <v>2899.79</v>
      </c>
    </row>
    <row r="1293" spans="1:9" x14ac:dyDescent="0.2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 s="1">
        <f t="shared" si="40"/>
        <v>539.88</v>
      </c>
      <c r="H1293" s="1" t="str">
        <f>_xlfn.XLOOKUP(C1293,Product!A:A,Product!B:B,"not found",0)</f>
        <v>Electra Girl's Hawaii 1 (16-inch) - 2015/2016</v>
      </c>
      <c r="I1293" s="1">
        <f t="shared" si="41"/>
        <v>539.88</v>
      </c>
    </row>
    <row r="1294" spans="1:9" x14ac:dyDescent="0.2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 s="1">
        <f t="shared" si="40"/>
        <v>599.91999999999996</v>
      </c>
      <c r="H1294" s="1" t="str">
        <f>_xlfn.XLOOKUP(C1294,Product!A:A,Product!B:B,"not found",0)</f>
        <v>Electra Townie Original 7D EQ - 2016</v>
      </c>
      <c r="I1294" s="1">
        <f t="shared" si="41"/>
        <v>599.91999999999996</v>
      </c>
    </row>
    <row r="1295" spans="1:9" x14ac:dyDescent="0.2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 s="1">
        <f t="shared" si="40"/>
        <v>2899.79</v>
      </c>
      <c r="H1295" s="1" t="str">
        <f>_xlfn.XLOOKUP(C1295,Product!A:A,Product!B:B,"not found",0)</f>
        <v>Trek Fuel EX 8 29 - 2016</v>
      </c>
      <c r="I1295" s="1">
        <f t="shared" si="41"/>
        <v>2899.79</v>
      </c>
    </row>
    <row r="1296" spans="1:9" x14ac:dyDescent="0.2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 s="1">
        <f t="shared" si="40"/>
        <v>3599.93</v>
      </c>
      <c r="H1296" s="1" t="str">
        <f>_xlfn.XLOOKUP(C1296,Product!A:A,Product!B:B,"not found",0)</f>
        <v>Trek Remedy 29 Carbon Frameset - 2016</v>
      </c>
      <c r="I1296" s="1">
        <f t="shared" si="41"/>
        <v>3599.93</v>
      </c>
    </row>
    <row r="1297" spans="1:9" x14ac:dyDescent="0.2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 s="1">
        <f t="shared" si="40"/>
        <v>549.89</v>
      </c>
      <c r="H1297" s="1" t="str">
        <f>_xlfn.XLOOKUP(C1297,Product!A:A,Product!B:B,"not found",0)</f>
        <v>Electra Townie Original 21D - 2016</v>
      </c>
      <c r="I1297" s="1">
        <f t="shared" si="41"/>
        <v>549.89</v>
      </c>
    </row>
    <row r="1298" spans="1:9" x14ac:dyDescent="0.2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 s="1">
        <f t="shared" si="40"/>
        <v>897.9</v>
      </c>
      <c r="H1298" s="1" t="str">
        <f>_xlfn.XLOOKUP(C1298,Product!A:A,Product!B:B,"not found",0)</f>
        <v>Pure Cycles Western 3-Speed - Women's - 2015/2016</v>
      </c>
      <c r="I1298" s="1">
        <f t="shared" si="41"/>
        <v>897.9</v>
      </c>
    </row>
    <row r="1299" spans="1:9" x14ac:dyDescent="0.2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 s="1">
        <f t="shared" si="40"/>
        <v>1099.8800000000001</v>
      </c>
      <c r="H1299" s="1" t="str">
        <f>_xlfn.XLOOKUP(C1299,Product!A:A,Product!B:B,"not found",0)</f>
        <v>Electra Townie Original 21D - 2016</v>
      </c>
      <c r="I1299" s="1">
        <f t="shared" si="41"/>
        <v>1099.8800000000001</v>
      </c>
    </row>
    <row r="1300" spans="1:9" x14ac:dyDescent="0.2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 s="1">
        <f t="shared" si="40"/>
        <v>539.91</v>
      </c>
      <c r="H1300" s="1" t="str">
        <f>_xlfn.XLOOKUP(C1300,Product!A:A,Product!B:B,"not found",0)</f>
        <v>Electra Cruiser 1 (24-Inch) - 2016</v>
      </c>
      <c r="I1300" s="1">
        <f t="shared" si="41"/>
        <v>539.91</v>
      </c>
    </row>
    <row r="1301" spans="1:9" x14ac:dyDescent="0.2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 s="1">
        <f t="shared" si="40"/>
        <v>3999.89</v>
      </c>
      <c r="H1301" s="1" t="str">
        <f>_xlfn.XLOOKUP(C1301,Product!A:A,Product!B:B,"not found",0)</f>
        <v>Trek Slash 8 27.5 - 2016</v>
      </c>
      <c r="I1301" s="1">
        <f t="shared" si="41"/>
        <v>3999.89</v>
      </c>
    </row>
    <row r="1302" spans="1:9" x14ac:dyDescent="0.2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 s="1">
        <f t="shared" si="40"/>
        <v>939.88</v>
      </c>
      <c r="H1302" s="1" t="str">
        <f>_xlfn.XLOOKUP(C1302,Product!A:A,Product!B:B,"not found",0)</f>
        <v>Surly Ice Cream Truck Frameset - 2016</v>
      </c>
      <c r="I1302" s="1">
        <f t="shared" si="41"/>
        <v>939.88</v>
      </c>
    </row>
    <row r="1303" spans="1:9" x14ac:dyDescent="0.2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 s="1">
        <f t="shared" si="40"/>
        <v>999.88</v>
      </c>
      <c r="H1303" s="1" t="str">
        <f>_xlfn.XLOOKUP(C1303,Product!A:A,Product!B:B,"not found",0)</f>
        <v>Electra Townie Original 7D - 2015/2016</v>
      </c>
      <c r="I1303" s="1">
        <f t="shared" si="41"/>
        <v>999.88</v>
      </c>
    </row>
    <row r="1304" spans="1:9" x14ac:dyDescent="0.2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 s="1">
        <f t="shared" si="40"/>
        <v>897.8</v>
      </c>
      <c r="H1304" s="1" t="str">
        <f>_xlfn.XLOOKUP(C1304,Product!A:A,Product!B:B,"not found",0)</f>
        <v>Pure Cycles William 3-Speed - 2016</v>
      </c>
      <c r="I1304" s="1">
        <f t="shared" si="41"/>
        <v>897.8</v>
      </c>
    </row>
    <row r="1305" spans="1:9" x14ac:dyDescent="0.2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 s="1">
        <f t="shared" si="40"/>
        <v>469.79</v>
      </c>
      <c r="H1305" s="1" t="str">
        <f>_xlfn.XLOOKUP(C1305,Product!A:A,Product!B:B,"not found",0)</f>
        <v>Surly Ice Cream Truck Frameset - 2016</v>
      </c>
      <c r="I1305" s="1">
        <f t="shared" si="41"/>
        <v>469.79</v>
      </c>
    </row>
    <row r="1306" spans="1:9" x14ac:dyDescent="0.2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 s="1">
        <f t="shared" si="40"/>
        <v>7999.9299999999994</v>
      </c>
      <c r="H1306" s="1" t="str">
        <f>_xlfn.XLOOKUP(C1306,Product!A:A,Product!B:B,"not found",0)</f>
        <v>Trek Slash 8 27.5 - 2016</v>
      </c>
      <c r="I1306" s="1">
        <f t="shared" si="41"/>
        <v>7999.9299999999994</v>
      </c>
    </row>
    <row r="1307" spans="1:9" x14ac:dyDescent="0.2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 s="1">
        <f t="shared" si="40"/>
        <v>529.89</v>
      </c>
      <c r="H1307" s="1" t="str">
        <f>_xlfn.XLOOKUP(C1307,Product!A:A,Product!B:B,"not found",0)</f>
        <v>Electra Moto 1 - 2016</v>
      </c>
      <c r="I1307" s="1">
        <f t="shared" si="41"/>
        <v>529.89</v>
      </c>
    </row>
    <row r="1308" spans="1:9" x14ac:dyDescent="0.2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 s="1">
        <f t="shared" si="40"/>
        <v>1320.89</v>
      </c>
      <c r="H1308" s="1" t="str">
        <f>_xlfn.XLOOKUP(C1308,Product!A:A,Product!B:B,"not found",0)</f>
        <v>Heller Shagamaw Frame - 2016</v>
      </c>
      <c r="I1308" s="1">
        <f t="shared" si="41"/>
        <v>1320.89</v>
      </c>
    </row>
    <row r="1309" spans="1:9" x14ac:dyDescent="0.2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 s="1">
        <f t="shared" si="40"/>
        <v>448.93</v>
      </c>
      <c r="H1309" s="1" t="str">
        <f>_xlfn.XLOOKUP(C1309,Product!A:A,Product!B:B,"not found",0)</f>
        <v>Pure Cycles William 3-Speed - 2016</v>
      </c>
      <c r="I1309" s="1">
        <f t="shared" si="41"/>
        <v>448.93</v>
      </c>
    </row>
    <row r="1310" spans="1:9" x14ac:dyDescent="0.2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 s="1">
        <f t="shared" si="40"/>
        <v>1548.93</v>
      </c>
      <c r="H1310" s="1" t="str">
        <f>_xlfn.XLOOKUP(C1310,Product!A:A,Product!B:B,"not found",0)</f>
        <v>Surly Straggler - 2016</v>
      </c>
      <c r="I1310" s="1">
        <f t="shared" si="41"/>
        <v>1548.93</v>
      </c>
    </row>
    <row r="1311" spans="1:9" x14ac:dyDescent="0.2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 s="1">
        <f t="shared" si="40"/>
        <v>539.88</v>
      </c>
      <c r="H1311" s="1" t="str">
        <f>_xlfn.XLOOKUP(C1311,Product!A:A,Product!B:B,"not found",0)</f>
        <v>Electra Girl's Hawaii 1 (16-inch) - 2015/2016</v>
      </c>
      <c r="I1311" s="1">
        <f t="shared" si="41"/>
        <v>539.88</v>
      </c>
    </row>
    <row r="1312" spans="1:9" x14ac:dyDescent="0.2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 s="1">
        <f t="shared" si="40"/>
        <v>857.93</v>
      </c>
      <c r="H1312" s="1" t="str">
        <f>_xlfn.XLOOKUP(C1312,Product!A:A,Product!B:B,"not found",0)</f>
        <v>Pure Cycles Vine 8-Speed - 2016</v>
      </c>
      <c r="I1312" s="1">
        <f t="shared" si="41"/>
        <v>857.93</v>
      </c>
    </row>
    <row r="1313" spans="1:9" x14ac:dyDescent="0.2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 s="1">
        <f t="shared" si="40"/>
        <v>1680.89</v>
      </c>
      <c r="H1313" s="1" t="str">
        <f>_xlfn.XLOOKUP(C1313,Product!A:A,Product!B:B,"not found",0)</f>
        <v>Surly Straggler 650b - 2016</v>
      </c>
      <c r="I1313" s="1">
        <f t="shared" si="41"/>
        <v>1680.89</v>
      </c>
    </row>
    <row r="1314" spans="1:9" x14ac:dyDescent="0.2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 s="1">
        <f t="shared" si="40"/>
        <v>448.9</v>
      </c>
      <c r="H1314" s="1" t="str">
        <f>_xlfn.XLOOKUP(C1314,Product!A:A,Product!B:B,"not found",0)</f>
        <v>Pure Cycles William 3-Speed - 2016</v>
      </c>
      <c r="I1314" s="1">
        <f t="shared" si="41"/>
        <v>448.9</v>
      </c>
    </row>
    <row r="1315" spans="1:9" x14ac:dyDescent="0.2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 s="1">
        <f t="shared" si="40"/>
        <v>5999.9299999999994</v>
      </c>
      <c r="H1315" s="1" t="str">
        <f>_xlfn.XLOOKUP(C1315,Product!A:A,Product!B:B,"not found",0)</f>
        <v>Trek Conduit+ - 2016</v>
      </c>
      <c r="I1315" s="1">
        <f t="shared" si="41"/>
        <v>5999.9299999999994</v>
      </c>
    </row>
    <row r="1316" spans="1:9" x14ac:dyDescent="0.2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 s="1">
        <f t="shared" si="40"/>
        <v>3097.95</v>
      </c>
      <c r="H1316" s="1" t="str">
        <f>_xlfn.XLOOKUP(C1316,Product!A:A,Product!B:B,"not found",0)</f>
        <v>Surly Straggler - 2016</v>
      </c>
      <c r="I1316" s="1">
        <f t="shared" si="41"/>
        <v>3097.95</v>
      </c>
    </row>
    <row r="1317" spans="1:9" x14ac:dyDescent="0.2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 s="1">
        <f t="shared" si="40"/>
        <v>499.89</v>
      </c>
      <c r="H1317" s="1" t="str">
        <f>_xlfn.XLOOKUP(C1317,Product!A:A,Product!B:B,"not found",0)</f>
        <v>Electra Townie Original 7D - 2015/2016</v>
      </c>
      <c r="I1317" s="1">
        <f t="shared" si="41"/>
        <v>499.89</v>
      </c>
    </row>
    <row r="1318" spans="1:9" x14ac:dyDescent="0.2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 s="1">
        <f t="shared" si="40"/>
        <v>3599.88</v>
      </c>
      <c r="H1318" s="1" t="str">
        <f>_xlfn.XLOOKUP(C1318,Product!A:A,Product!B:B,"not found",0)</f>
        <v>Trek Remedy 29 Carbon Frameset - 2016</v>
      </c>
      <c r="I1318" s="1">
        <f t="shared" si="41"/>
        <v>3599.88</v>
      </c>
    </row>
    <row r="1319" spans="1:9" x14ac:dyDescent="0.2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 s="1">
        <f t="shared" si="40"/>
        <v>2899.9199999999996</v>
      </c>
      <c r="H1319" s="1" t="str">
        <f>_xlfn.XLOOKUP(C1319,Product!A:A,Product!B:B,"not found",0)</f>
        <v>Trek Fuel EX 8 29 - 2016</v>
      </c>
      <c r="I1319" s="1">
        <f t="shared" si="41"/>
        <v>2899.9199999999996</v>
      </c>
    </row>
    <row r="1320" spans="1:9" x14ac:dyDescent="0.2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 s="1">
        <f t="shared" si="40"/>
        <v>1059.78</v>
      </c>
      <c r="H1320" s="1" t="str">
        <f>_xlfn.XLOOKUP(C1320,Product!A:A,Product!B:B,"not found",0)</f>
        <v>Electra Moto 1 - 2016</v>
      </c>
      <c r="I1320" s="1">
        <f t="shared" si="41"/>
        <v>1059.78</v>
      </c>
    </row>
    <row r="1321" spans="1:9" x14ac:dyDescent="0.2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 s="1">
        <f t="shared" si="40"/>
        <v>448.95</v>
      </c>
      <c r="H1321" s="1" t="str">
        <f>_xlfn.XLOOKUP(C1321,Product!A:A,Product!B:B,"not found",0)</f>
        <v>Pure Cycles Western 3-Speed - Women's - 2015/2016</v>
      </c>
      <c r="I1321" s="1">
        <f t="shared" si="41"/>
        <v>448.95</v>
      </c>
    </row>
    <row r="1322" spans="1:9" x14ac:dyDescent="0.2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 s="1">
        <f t="shared" si="40"/>
        <v>269.94</v>
      </c>
      <c r="H1322" s="1" t="str">
        <f>_xlfn.XLOOKUP(C1322,Product!A:A,Product!B:B,"not found",0)</f>
        <v>Electra Cruiser 1 (24-Inch) - 2016</v>
      </c>
      <c r="I1322" s="1">
        <f t="shared" si="41"/>
        <v>269.94</v>
      </c>
    </row>
    <row r="1323" spans="1:9" x14ac:dyDescent="0.2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 s="1">
        <f t="shared" si="40"/>
        <v>3599.78</v>
      </c>
      <c r="H1323" s="1" t="str">
        <f>_xlfn.XLOOKUP(C1323,Product!A:A,Product!B:B,"not found",0)</f>
        <v>Trek Remedy 29 Carbon Frameset - 2016</v>
      </c>
      <c r="I1323" s="1">
        <f t="shared" si="41"/>
        <v>3599.78</v>
      </c>
    </row>
    <row r="1324" spans="1:9" x14ac:dyDescent="0.2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 s="1">
        <f t="shared" si="40"/>
        <v>269.79000000000002</v>
      </c>
      <c r="H1324" s="1" t="str">
        <f>_xlfn.XLOOKUP(C1324,Product!A:A,Product!B:B,"not found",0)</f>
        <v>Electra Girl's Hawaii 1 (16-inch) - 2015/2016</v>
      </c>
      <c r="I1324" s="1">
        <f t="shared" si="41"/>
        <v>269.79000000000002</v>
      </c>
    </row>
    <row r="1325" spans="1:9" x14ac:dyDescent="0.2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 s="1">
        <f t="shared" si="40"/>
        <v>539.93000000000006</v>
      </c>
      <c r="H1325" s="1" t="str">
        <f>_xlfn.XLOOKUP(C1325,Product!A:A,Product!B:B,"not found",0)</f>
        <v>Electra Cruiser 1 (24-Inch) - 2016</v>
      </c>
      <c r="I1325" s="1">
        <f t="shared" si="41"/>
        <v>539.93000000000006</v>
      </c>
    </row>
    <row r="1326" spans="1:9" x14ac:dyDescent="0.2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 s="1">
        <f t="shared" si="40"/>
        <v>529.89</v>
      </c>
      <c r="H1326" s="1" t="str">
        <f>_xlfn.XLOOKUP(C1326,Product!A:A,Product!B:B,"not found",0)</f>
        <v>Electra Moto 1 - 2016</v>
      </c>
      <c r="I1326" s="1">
        <f t="shared" si="41"/>
        <v>529.89</v>
      </c>
    </row>
    <row r="1327" spans="1:9" x14ac:dyDescent="0.2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 s="1">
        <f t="shared" si="40"/>
        <v>539.88</v>
      </c>
      <c r="H1327" s="1" t="str">
        <f>_xlfn.XLOOKUP(C1327,Product!A:A,Product!B:B,"not found",0)</f>
        <v>Electra Cruiser 1 (24-Inch) - 2016</v>
      </c>
      <c r="I1327" s="1">
        <f t="shared" si="41"/>
        <v>539.88</v>
      </c>
    </row>
    <row r="1328" spans="1:9" x14ac:dyDescent="0.2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 s="1">
        <f t="shared" si="40"/>
        <v>599.91999999999996</v>
      </c>
      <c r="H1328" s="1" t="str">
        <f>_xlfn.XLOOKUP(C1328,Product!A:A,Product!B:B,"not found",0)</f>
        <v>Electra Townie Original 7D EQ - 2016</v>
      </c>
      <c r="I1328" s="1">
        <f t="shared" si="41"/>
        <v>599.91999999999996</v>
      </c>
    </row>
    <row r="1329" spans="1:9" x14ac:dyDescent="0.2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 s="1">
        <f t="shared" si="40"/>
        <v>897.95</v>
      </c>
      <c r="H1329" s="1" t="str">
        <f>_xlfn.XLOOKUP(C1329,Product!A:A,Product!B:B,"not found",0)</f>
        <v>Pure Cycles William 3-Speed - 2016</v>
      </c>
      <c r="I1329" s="1">
        <f t="shared" si="41"/>
        <v>897.95</v>
      </c>
    </row>
    <row r="1330" spans="1:9" x14ac:dyDescent="0.2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 s="1">
        <f t="shared" si="40"/>
        <v>1680.79</v>
      </c>
      <c r="H1330" s="1" t="str">
        <f>_xlfn.XLOOKUP(C1330,Product!A:A,Product!B:B,"not found",0)</f>
        <v>Surly Straggler 650b - 2016</v>
      </c>
      <c r="I1330" s="1">
        <f t="shared" si="41"/>
        <v>1680.79</v>
      </c>
    </row>
    <row r="1331" spans="1:9" x14ac:dyDescent="0.2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 s="1">
        <f t="shared" si="40"/>
        <v>857.93</v>
      </c>
      <c r="H1331" s="1" t="str">
        <f>_xlfn.XLOOKUP(C1331,Product!A:A,Product!B:B,"not found",0)</f>
        <v>Pure Cycles Vine 8-Speed - 2016</v>
      </c>
      <c r="I1331" s="1">
        <f t="shared" si="41"/>
        <v>857.93</v>
      </c>
    </row>
    <row r="1332" spans="1:9" x14ac:dyDescent="0.2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 s="1">
        <f t="shared" si="40"/>
        <v>1199.78</v>
      </c>
      <c r="H1332" s="1" t="str">
        <f>_xlfn.XLOOKUP(C1332,Product!A:A,Product!B:B,"not found",0)</f>
        <v>Electra Townie Original 7D EQ - 2016</v>
      </c>
      <c r="I1332" s="1">
        <f t="shared" si="41"/>
        <v>1199.78</v>
      </c>
    </row>
    <row r="1333" spans="1:9" x14ac:dyDescent="0.2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 s="1">
        <f t="shared" si="40"/>
        <v>499.79</v>
      </c>
      <c r="H1333" s="1" t="str">
        <f>_xlfn.XLOOKUP(C1333,Product!A:A,Product!B:B,"not found",0)</f>
        <v>Electra Townie Original 7D - 2015/2016</v>
      </c>
      <c r="I1333" s="1">
        <f t="shared" si="41"/>
        <v>499.79</v>
      </c>
    </row>
    <row r="1334" spans="1:9" x14ac:dyDescent="0.2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 s="1">
        <f t="shared" si="40"/>
        <v>539.91</v>
      </c>
      <c r="H1334" s="1" t="str">
        <f>_xlfn.XLOOKUP(C1334,Product!A:A,Product!B:B,"not found",0)</f>
        <v>Electra Girl's Hawaii 1 (16-inch) - 2015/2016</v>
      </c>
      <c r="I1334" s="1">
        <f t="shared" si="41"/>
        <v>539.91</v>
      </c>
    </row>
    <row r="1335" spans="1:9" x14ac:dyDescent="0.2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 s="1">
        <f t="shared" si="40"/>
        <v>5799.78</v>
      </c>
      <c r="H1335" s="1" t="str">
        <f>_xlfn.XLOOKUP(C1335,Product!A:A,Product!B:B,"not found",0)</f>
        <v>Trek Fuel EX 8 29 - 2016</v>
      </c>
      <c r="I1335" s="1">
        <f t="shared" si="41"/>
        <v>5799.78</v>
      </c>
    </row>
    <row r="1336" spans="1:9" x14ac:dyDescent="0.2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 s="1">
        <f t="shared" si="40"/>
        <v>3361.91</v>
      </c>
      <c r="H1336" s="1" t="str">
        <f>_xlfn.XLOOKUP(C1336,Product!A:A,Product!B:B,"not found",0)</f>
        <v>Surly Straggler 650b - 2016</v>
      </c>
      <c r="I1336" s="1">
        <f t="shared" si="41"/>
        <v>3361.91</v>
      </c>
    </row>
    <row r="1337" spans="1:9" x14ac:dyDescent="0.2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 s="1">
        <f t="shared" si="40"/>
        <v>1199.93</v>
      </c>
      <c r="H1337" s="1" t="str">
        <f>_xlfn.XLOOKUP(C1337,Product!A:A,Product!B:B,"not found",0)</f>
        <v>Electra Townie Original 7D EQ - Women's - 2016</v>
      </c>
      <c r="I1337" s="1">
        <f t="shared" si="41"/>
        <v>1199.93</v>
      </c>
    </row>
    <row r="1338" spans="1:9" x14ac:dyDescent="0.2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 s="1">
        <f t="shared" si="40"/>
        <v>469.89</v>
      </c>
      <c r="H1338" s="1" t="str">
        <f>_xlfn.XLOOKUP(C1338,Product!A:A,Product!B:B,"not found",0)</f>
        <v>Surly Ice Cream Truck Frameset - 2016</v>
      </c>
      <c r="I1338" s="1">
        <f t="shared" si="41"/>
        <v>469.89</v>
      </c>
    </row>
    <row r="1339" spans="1:9" x14ac:dyDescent="0.2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 s="1">
        <f t="shared" si="40"/>
        <v>1548.95</v>
      </c>
      <c r="H1339" s="1" t="str">
        <f>_xlfn.XLOOKUP(C1339,Product!A:A,Product!B:B,"not found",0)</f>
        <v>Surly Straggler - 2016</v>
      </c>
      <c r="I1339" s="1">
        <f t="shared" si="41"/>
        <v>1548.95</v>
      </c>
    </row>
    <row r="1340" spans="1:9" x14ac:dyDescent="0.2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 s="1">
        <f t="shared" si="40"/>
        <v>539.91</v>
      </c>
      <c r="H1340" s="1" t="str">
        <f>_xlfn.XLOOKUP(C1340,Product!A:A,Product!B:B,"not found",0)</f>
        <v>Electra Cruiser 1 (24-Inch) - 2016</v>
      </c>
      <c r="I1340" s="1">
        <f t="shared" si="41"/>
        <v>539.91</v>
      </c>
    </row>
    <row r="1341" spans="1:9" x14ac:dyDescent="0.2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 s="1">
        <f t="shared" si="40"/>
        <v>599.91999999999996</v>
      </c>
      <c r="H1341" s="1" t="str">
        <f>_xlfn.XLOOKUP(C1341,Product!A:A,Product!B:B,"not found",0)</f>
        <v>Electra Townie Original 7D EQ - 2016</v>
      </c>
      <c r="I1341" s="1">
        <f t="shared" si="41"/>
        <v>599.91999999999996</v>
      </c>
    </row>
    <row r="1342" spans="1:9" x14ac:dyDescent="0.2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 s="1">
        <f t="shared" si="40"/>
        <v>549.94000000000005</v>
      </c>
      <c r="H1342" s="1" t="str">
        <f>_xlfn.XLOOKUP(C1342,Product!A:A,Product!B:B,"not found",0)</f>
        <v>Electra Townie Original 21D - 2016</v>
      </c>
      <c r="I1342" s="1">
        <f t="shared" si="41"/>
        <v>549.94000000000005</v>
      </c>
    </row>
    <row r="1343" spans="1:9" x14ac:dyDescent="0.2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 s="1">
        <f t="shared" si="40"/>
        <v>269.79000000000002</v>
      </c>
      <c r="H1343" s="1" t="str">
        <f>_xlfn.XLOOKUP(C1343,Product!A:A,Product!B:B,"not found",0)</f>
        <v>Electra Cruiser 1 (24-Inch) - 2016</v>
      </c>
      <c r="I1343" s="1">
        <f t="shared" si="41"/>
        <v>269.79000000000002</v>
      </c>
    </row>
    <row r="1344" spans="1:9" x14ac:dyDescent="0.2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 s="1">
        <f t="shared" si="40"/>
        <v>3999.9399999999996</v>
      </c>
      <c r="H1344" s="1" t="str">
        <f>_xlfn.XLOOKUP(C1344,Product!A:A,Product!B:B,"not found",0)</f>
        <v>Trek Slash 8 27.5 - 2016</v>
      </c>
      <c r="I1344" s="1">
        <f t="shared" si="41"/>
        <v>3999.9399999999996</v>
      </c>
    </row>
    <row r="1345" spans="1:9" x14ac:dyDescent="0.2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 s="1">
        <f t="shared" si="40"/>
        <v>1548.8</v>
      </c>
      <c r="H1345" s="1" t="str">
        <f>_xlfn.XLOOKUP(C1345,Product!A:A,Product!B:B,"not found",0)</f>
        <v>Surly Straggler - 2016</v>
      </c>
      <c r="I1345" s="1">
        <f t="shared" si="41"/>
        <v>1548.8</v>
      </c>
    </row>
    <row r="1346" spans="1:9" x14ac:dyDescent="0.2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 s="1">
        <f t="shared" si="40"/>
        <v>2899.9399999999996</v>
      </c>
      <c r="H1346" s="1" t="str">
        <f>_xlfn.XLOOKUP(C1346,Product!A:A,Product!B:B,"not found",0)</f>
        <v>Trek Fuel EX 8 29 - 2016</v>
      </c>
      <c r="I1346" s="1">
        <f t="shared" si="41"/>
        <v>2899.9399999999996</v>
      </c>
    </row>
    <row r="1347" spans="1:9" x14ac:dyDescent="0.2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 s="1">
        <f t="shared" ref="G1347:G1410" si="42">(E1347*D1347)-F1347</f>
        <v>529.94000000000005</v>
      </c>
      <c r="H1347" s="1" t="str">
        <f>_xlfn.XLOOKUP(C1347,Product!A:A,Product!B:B,"not found",0)</f>
        <v>Electra Moto 1 - 2016</v>
      </c>
      <c r="I1347" s="1">
        <f t="shared" ref="I1347:I1410" si="43">(D1347*E1347)-F1347</f>
        <v>529.94000000000005</v>
      </c>
    </row>
    <row r="1348" spans="1:9" x14ac:dyDescent="0.2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 s="1">
        <f t="shared" si="42"/>
        <v>599.91</v>
      </c>
      <c r="H1348" s="1" t="str">
        <f>_xlfn.XLOOKUP(C1348,Product!A:A,Product!B:B,"not found",0)</f>
        <v>Electra Girl's Hawaii 1 (20-inch) - 2015/2016</v>
      </c>
      <c r="I1348" s="1">
        <f t="shared" si="43"/>
        <v>599.91</v>
      </c>
    </row>
    <row r="1349" spans="1:9" x14ac:dyDescent="0.2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 s="1">
        <f t="shared" si="42"/>
        <v>539.78</v>
      </c>
      <c r="H1349" s="1" t="str">
        <f>_xlfn.XLOOKUP(C1349,Product!A:A,Product!B:B,"not found",0)</f>
        <v>Electra Cruiser 1 (24-Inch) - 2016</v>
      </c>
      <c r="I1349" s="1">
        <f t="shared" si="43"/>
        <v>539.78</v>
      </c>
    </row>
    <row r="1350" spans="1:9" x14ac:dyDescent="0.2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 s="1">
        <f t="shared" si="42"/>
        <v>1199.9100000000001</v>
      </c>
      <c r="H1350" s="1" t="str">
        <f>_xlfn.XLOOKUP(C1350,Product!A:A,Product!B:B,"not found",0)</f>
        <v>Electra Townie Original 7D EQ - 2016</v>
      </c>
      <c r="I1350" s="1">
        <f t="shared" si="43"/>
        <v>1199.9100000000001</v>
      </c>
    </row>
    <row r="1351" spans="1:9" x14ac:dyDescent="0.2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 s="1">
        <f t="shared" si="42"/>
        <v>5999.8799999999992</v>
      </c>
      <c r="H1351" s="1" t="str">
        <f>_xlfn.XLOOKUP(C1351,Product!A:A,Product!B:B,"not found",0)</f>
        <v>Trek Conduit+ - 2016</v>
      </c>
      <c r="I1351" s="1">
        <f t="shared" si="43"/>
        <v>5999.8799999999992</v>
      </c>
    </row>
    <row r="1352" spans="1:9" x14ac:dyDescent="0.2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 s="1">
        <f t="shared" si="42"/>
        <v>269.79000000000002</v>
      </c>
      <c r="H1352" s="1" t="str">
        <f>_xlfn.XLOOKUP(C1352,Product!A:A,Product!B:B,"not found",0)</f>
        <v>Electra Cruiser 1 (24-Inch) - 2016</v>
      </c>
      <c r="I1352" s="1">
        <f t="shared" si="43"/>
        <v>269.79000000000002</v>
      </c>
    </row>
    <row r="1353" spans="1:9" x14ac:dyDescent="0.2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 s="1">
        <f t="shared" si="42"/>
        <v>269.89</v>
      </c>
      <c r="H1353" s="1" t="str">
        <f>_xlfn.XLOOKUP(C1353,Product!A:A,Product!B:B,"not found",0)</f>
        <v>Electra Girl's Hawaii 1 (16-inch) - 2015/2016</v>
      </c>
      <c r="I1353" s="1">
        <f t="shared" si="43"/>
        <v>269.89</v>
      </c>
    </row>
    <row r="1354" spans="1:9" x14ac:dyDescent="0.2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 s="1">
        <f t="shared" si="42"/>
        <v>428.93</v>
      </c>
      <c r="H1354" s="1" t="str">
        <f>_xlfn.XLOOKUP(C1354,Product!A:A,Product!B:B,"not found",0)</f>
        <v>Pure Cycles Vine 8-Speed - 2016</v>
      </c>
      <c r="I1354" s="1">
        <f t="shared" si="43"/>
        <v>428.93</v>
      </c>
    </row>
    <row r="1355" spans="1:9" x14ac:dyDescent="0.2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 s="1">
        <f t="shared" si="42"/>
        <v>3599.88</v>
      </c>
      <c r="H1355" s="1" t="str">
        <f>_xlfn.XLOOKUP(C1355,Product!A:A,Product!B:B,"not found",0)</f>
        <v>Trek Remedy 29 Carbon Frameset - 2016</v>
      </c>
      <c r="I1355" s="1">
        <f t="shared" si="43"/>
        <v>3599.88</v>
      </c>
    </row>
    <row r="1356" spans="1:9" x14ac:dyDescent="0.2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 s="1">
        <f t="shared" si="42"/>
        <v>549.94000000000005</v>
      </c>
      <c r="H1356" s="1" t="str">
        <f>_xlfn.XLOOKUP(C1356,Product!A:A,Product!B:B,"not found",0)</f>
        <v>Electra Townie Original 21D - 2016</v>
      </c>
      <c r="I1356" s="1">
        <f t="shared" si="43"/>
        <v>549.94000000000005</v>
      </c>
    </row>
    <row r="1357" spans="1:9" x14ac:dyDescent="0.2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 s="1">
        <f t="shared" si="42"/>
        <v>5999.9299999999994</v>
      </c>
      <c r="H1357" s="1" t="str">
        <f>_xlfn.XLOOKUP(C1357,Product!A:A,Product!B:B,"not found",0)</f>
        <v>Trek Conduit+ - 2016</v>
      </c>
      <c r="I1357" s="1">
        <f t="shared" si="43"/>
        <v>5999.9299999999994</v>
      </c>
    </row>
    <row r="1358" spans="1:9" x14ac:dyDescent="0.2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 s="1">
        <f t="shared" si="42"/>
        <v>469.79</v>
      </c>
      <c r="H1358" s="1" t="str">
        <f>_xlfn.XLOOKUP(C1358,Product!A:A,Product!B:B,"not found",0)</f>
        <v>Surly Ice Cream Truck Frameset - 2016</v>
      </c>
      <c r="I1358" s="1">
        <f t="shared" si="43"/>
        <v>469.79</v>
      </c>
    </row>
    <row r="1359" spans="1:9" x14ac:dyDescent="0.2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 s="1">
        <f t="shared" si="42"/>
        <v>269.89</v>
      </c>
      <c r="H1359" s="1" t="str">
        <f>_xlfn.XLOOKUP(C1359,Product!A:A,Product!B:B,"not found",0)</f>
        <v>Electra Cruiser 1 (24-Inch) - 2016</v>
      </c>
      <c r="I1359" s="1">
        <f t="shared" si="43"/>
        <v>269.89</v>
      </c>
    </row>
    <row r="1360" spans="1:9" x14ac:dyDescent="0.2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 s="1">
        <f t="shared" si="42"/>
        <v>1199.93</v>
      </c>
      <c r="H1360" s="1" t="str">
        <f>_xlfn.XLOOKUP(C1360,Product!A:A,Product!B:B,"not found",0)</f>
        <v>Electra Townie Original 7D EQ - 2016</v>
      </c>
      <c r="I1360" s="1">
        <f t="shared" si="43"/>
        <v>1199.93</v>
      </c>
    </row>
    <row r="1361" spans="1:9" x14ac:dyDescent="0.2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 s="1">
        <f t="shared" si="42"/>
        <v>2999.9199999999996</v>
      </c>
      <c r="H1361" s="1" t="str">
        <f>_xlfn.XLOOKUP(C1361,Product!A:A,Product!B:B,"not found",0)</f>
        <v>Trek Conduit+ - 2016</v>
      </c>
      <c r="I1361" s="1">
        <f t="shared" si="43"/>
        <v>2999.9199999999996</v>
      </c>
    </row>
    <row r="1362" spans="1:9" x14ac:dyDescent="0.2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 s="1">
        <f t="shared" si="42"/>
        <v>599.93000000000006</v>
      </c>
      <c r="H1362" s="1" t="str">
        <f>_xlfn.XLOOKUP(C1362,Product!A:A,Product!B:B,"not found",0)</f>
        <v>Electra Girl's Hawaii 1 (20-inch) - 2015/2016</v>
      </c>
      <c r="I1362" s="1">
        <f t="shared" si="43"/>
        <v>599.93000000000006</v>
      </c>
    </row>
    <row r="1363" spans="1:9" x14ac:dyDescent="0.2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 s="1">
        <f t="shared" si="42"/>
        <v>469.79</v>
      </c>
      <c r="H1363" s="1" t="str">
        <f>_xlfn.XLOOKUP(C1363,Product!A:A,Product!B:B,"not found",0)</f>
        <v>Surly Ice Cream Truck Frameset - 2016</v>
      </c>
      <c r="I1363" s="1">
        <f t="shared" si="43"/>
        <v>469.79</v>
      </c>
    </row>
    <row r="1364" spans="1:9" x14ac:dyDescent="0.2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 s="1">
        <f t="shared" si="42"/>
        <v>539.91</v>
      </c>
      <c r="H1364" s="1" t="str">
        <f>_xlfn.XLOOKUP(C1364,Product!A:A,Product!B:B,"not found",0)</f>
        <v>Electra Cruiser 1 (24-Inch) - 2016</v>
      </c>
      <c r="I1364" s="1">
        <f t="shared" si="43"/>
        <v>539.91</v>
      </c>
    </row>
    <row r="1365" spans="1:9" x14ac:dyDescent="0.2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 s="1">
        <f t="shared" si="42"/>
        <v>599.93000000000006</v>
      </c>
      <c r="H1365" s="1" t="str">
        <f>_xlfn.XLOOKUP(C1365,Product!A:A,Product!B:B,"not found",0)</f>
        <v>Electra Girl's Hawaii 1 (20-inch) - 2015/2016</v>
      </c>
      <c r="I1365" s="1">
        <f t="shared" si="43"/>
        <v>599.93000000000006</v>
      </c>
    </row>
    <row r="1366" spans="1:9" x14ac:dyDescent="0.2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 s="1">
        <f t="shared" si="42"/>
        <v>269.94</v>
      </c>
      <c r="H1366" s="1" t="str">
        <f>_xlfn.XLOOKUP(C1366,Product!A:A,Product!B:B,"not found",0)</f>
        <v>Electra Girl's Hawaii 1 (16-inch) - 2015/2016</v>
      </c>
      <c r="I1366" s="1">
        <f t="shared" si="43"/>
        <v>269.94</v>
      </c>
    </row>
    <row r="1367" spans="1:9" x14ac:dyDescent="0.2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 s="1">
        <f t="shared" si="42"/>
        <v>3599.88</v>
      </c>
      <c r="H1367" s="1" t="str">
        <f>_xlfn.XLOOKUP(C1367,Product!A:A,Product!B:B,"not found",0)</f>
        <v>Trek Remedy 29 Carbon Frameset - 2016</v>
      </c>
      <c r="I1367" s="1">
        <f t="shared" si="43"/>
        <v>3599.88</v>
      </c>
    </row>
    <row r="1368" spans="1:9" x14ac:dyDescent="0.2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 s="1">
        <f t="shared" si="42"/>
        <v>549.89</v>
      </c>
      <c r="H1368" s="1" t="str">
        <f>_xlfn.XLOOKUP(C1368,Product!A:A,Product!B:B,"not found",0)</f>
        <v>Electra Townie Original 21D - 2016</v>
      </c>
      <c r="I1368" s="1">
        <f t="shared" si="43"/>
        <v>549.89</v>
      </c>
    </row>
    <row r="1369" spans="1:9" x14ac:dyDescent="0.2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 s="1">
        <f t="shared" si="42"/>
        <v>299.94</v>
      </c>
      <c r="H1369" s="1" t="str">
        <f>_xlfn.XLOOKUP(C1369,Product!A:A,Product!B:B,"not found",0)</f>
        <v>Electra Girl's Hawaii 1 (20-inch) - 2015/2016</v>
      </c>
      <c r="I1369" s="1">
        <f t="shared" si="43"/>
        <v>299.94</v>
      </c>
    </row>
    <row r="1370" spans="1:9" x14ac:dyDescent="0.2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 s="1">
        <f t="shared" si="42"/>
        <v>269.89</v>
      </c>
      <c r="H1370" s="1" t="str">
        <f>_xlfn.XLOOKUP(C1370,Product!A:A,Product!B:B,"not found",0)</f>
        <v>Electra Girl's Hawaii 1 (16-inch) - 2015/2016</v>
      </c>
      <c r="I1370" s="1">
        <f t="shared" si="43"/>
        <v>269.89</v>
      </c>
    </row>
    <row r="1371" spans="1:9" x14ac:dyDescent="0.2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 s="1">
        <f t="shared" si="42"/>
        <v>539.91</v>
      </c>
      <c r="H1371" s="1" t="str">
        <f>_xlfn.XLOOKUP(C1371,Product!A:A,Product!B:B,"not found",0)</f>
        <v>Electra Cruiser 1 (24-Inch) - 2016</v>
      </c>
      <c r="I1371" s="1">
        <f t="shared" si="43"/>
        <v>539.91</v>
      </c>
    </row>
    <row r="1372" spans="1:9" x14ac:dyDescent="0.2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 s="1">
        <f t="shared" si="42"/>
        <v>5999.78</v>
      </c>
      <c r="H1372" s="1" t="str">
        <f>_xlfn.XLOOKUP(C1372,Product!A:A,Product!B:B,"not found",0)</f>
        <v>Trek Conduit+ - 2016</v>
      </c>
      <c r="I1372" s="1">
        <f t="shared" si="43"/>
        <v>5999.78</v>
      </c>
    </row>
    <row r="1373" spans="1:9" x14ac:dyDescent="0.2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 s="1">
        <f t="shared" si="42"/>
        <v>539.93000000000006</v>
      </c>
      <c r="H1373" s="1" t="str">
        <f>_xlfn.XLOOKUP(C1373,Product!A:A,Product!B:B,"not found",0)</f>
        <v>Electra Cruiser 1 (24-Inch) - 2016</v>
      </c>
      <c r="I1373" s="1">
        <f t="shared" si="43"/>
        <v>539.93000000000006</v>
      </c>
    </row>
    <row r="1374" spans="1:9" x14ac:dyDescent="0.2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 s="1">
        <f t="shared" si="42"/>
        <v>1059.93</v>
      </c>
      <c r="H1374" s="1" t="str">
        <f>_xlfn.XLOOKUP(C1374,Product!A:A,Product!B:B,"not found",0)</f>
        <v>Electra Moto 1 - 2016</v>
      </c>
      <c r="I1374" s="1">
        <f t="shared" si="43"/>
        <v>1059.93</v>
      </c>
    </row>
    <row r="1375" spans="1:9" x14ac:dyDescent="0.2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 s="1">
        <f t="shared" si="42"/>
        <v>469.89</v>
      </c>
      <c r="H1375" s="1" t="str">
        <f>_xlfn.XLOOKUP(C1375,Product!A:A,Product!B:B,"not found",0)</f>
        <v>Surly Ice Cream Truck Frameset - 2016</v>
      </c>
      <c r="I1375" s="1">
        <f t="shared" si="43"/>
        <v>469.89</v>
      </c>
    </row>
    <row r="1376" spans="1:9" x14ac:dyDescent="0.2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 s="1">
        <f t="shared" si="42"/>
        <v>539.88</v>
      </c>
      <c r="H1376" s="1" t="str">
        <f>_xlfn.XLOOKUP(C1376,Product!A:A,Product!B:B,"not found",0)</f>
        <v>Electra Girl's Hawaii 1 (16-inch) - 2015/2016</v>
      </c>
      <c r="I1376" s="1">
        <f t="shared" si="43"/>
        <v>539.88</v>
      </c>
    </row>
    <row r="1377" spans="1:9" x14ac:dyDescent="0.2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 s="1">
        <f t="shared" si="42"/>
        <v>599.94000000000005</v>
      </c>
      <c r="H1377" s="1" t="str">
        <f>_xlfn.XLOOKUP(C1377,Product!A:A,Product!B:B,"not found",0)</f>
        <v>Electra Townie Original 7D EQ - 2016</v>
      </c>
      <c r="I1377" s="1">
        <f t="shared" si="43"/>
        <v>599.94000000000005</v>
      </c>
    </row>
    <row r="1378" spans="1:9" x14ac:dyDescent="0.2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 s="1">
        <f t="shared" si="42"/>
        <v>529.94000000000005</v>
      </c>
      <c r="H1378" s="1" t="str">
        <f>_xlfn.XLOOKUP(C1378,Product!A:A,Product!B:B,"not found",0)</f>
        <v>Electra Moto 1 - 2016</v>
      </c>
      <c r="I1378" s="1">
        <f t="shared" si="43"/>
        <v>529.94000000000005</v>
      </c>
    </row>
    <row r="1379" spans="1:9" x14ac:dyDescent="0.2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 s="1">
        <f t="shared" si="42"/>
        <v>897.95</v>
      </c>
      <c r="H1379" s="1" t="str">
        <f>_xlfn.XLOOKUP(C1379,Product!A:A,Product!B:B,"not found",0)</f>
        <v>Pure Cycles Western 3-Speed - Women's - 2015/2016</v>
      </c>
      <c r="I1379" s="1">
        <f t="shared" si="43"/>
        <v>897.95</v>
      </c>
    </row>
    <row r="1380" spans="1:9" x14ac:dyDescent="0.2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 s="1">
        <f t="shared" si="42"/>
        <v>599.94000000000005</v>
      </c>
      <c r="H1380" s="1" t="str">
        <f>_xlfn.XLOOKUP(C1380,Product!A:A,Product!B:B,"not found",0)</f>
        <v>Electra Townie Original 7D EQ - 2016</v>
      </c>
      <c r="I1380" s="1">
        <f t="shared" si="43"/>
        <v>599.94000000000005</v>
      </c>
    </row>
    <row r="1381" spans="1:9" x14ac:dyDescent="0.2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 s="1">
        <f t="shared" si="42"/>
        <v>299.89</v>
      </c>
      <c r="H1381" s="1" t="str">
        <f>_xlfn.XLOOKUP(C1381,Product!A:A,Product!B:B,"not found",0)</f>
        <v>Electra Girl's Hawaii 1 (20-inch) - 2015/2016</v>
      </c>
      <c r="I1381" s="1">
        <f t="shared" si="43"/>
        <v>299.89</v>
      </c>
    </row>
    <row r="1382" spans="1:9" x14ac:dyDescent="0.2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 s="1">
        <f t="shared" si="42"/>
        <v>269.79000000000002</v>
      </c>
      <c r="H1382" s="1" t="str">
        <f>_xlfn.XLOOKUP(C1382,Product!A:A,Product!B:B,"not found",0)</f>
        <v>Electra Girl's Hawaii 1 (16-inch) - 2015/2016</v>
      </c>
      <c r="I1382" s="1">
        <f t="shared" si="43"/>
        <v>269.79000000000002</v>
      </c>
    </row>
    <row r="1383" spans="1:9" x14ac:dyDescent="0.2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 s="1">
        <f t="shared" si="42"/>
        <v>2999.9399999999996</v>
      </c>
      <c r="H1383" s="1" t="str">
        <f>_xlfn.XLOOKUP(C1383,Product!A:A,Product!B:B,"not found",0)</f>
        <v>Trek Conduit+ - 2016</v>
      </c>
      <c r="I1383" s="1">
        <f t="shared" si="43"/>
        <v>2999.9399999999996</v>
      </c>
    </row>
    <row r="1384" spans="1:9" x14ac:dyDescent="0.2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 s="1">
        <f t="shared" si="42"/>
        <v>299.79000000000002</v>
      </c>
      <c r="H1384" s="1" t="str">
        <f>_xlfn.XLOOKUP(C1384,Product!A:A,Product!B:B,"not found",0)</f>
        <v>Electra Girl's Hawaii 1 (20-inch) - 2015/2016</v>
      </c>
      <c r="I1384" s="1">
        <f t="shared" si="43"/>
        <v>299.79000000000002</v>
      </c>
    </row>
    <row r="1385" spans="1:9" x14ac:dyDescent="0.2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 s="1">
        <f t="shared" si="42"/>
        <v>269.89</v>
      </c>
      <c r="H1385" s="1" t="str">
        <f>_xlfn.XLOOKUP(C1385,Product!A:A,Product!B:B,"not found",0)</f>
        <v>Electra Cruiser 1 (24-Inch) - 2016</v>
      </c>
      <c r="I1385" s="1">
        <f t="shared" si="43"/>
        <v>269.89</v>
      </c>
    </row>
    <row r="1386" spans="1:9" x14ac:dyDescent="0.2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 s="1">
        <f t="shared" si="42"/>
        <v>539.78</v>
      </c>
      <c r="H1386" s="1" t="str">
        <f>_xlfn.XLOOKUP(C1386,Product!A:A,Product!B:B,"not found",0)</f>
        <v>Electra Cruiser 1 (24-Inch) - 2016</v>
      </c>
      <c r="I1386" s="1">
        <f t="shared" si="43"/>
        <v>539.78</v>
      </c>
    </row>
    <row r="1387" spans="1:9" x14ac:dyDescent="0.2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 s="1">
        <f t="shared" si="42"/>
        <v>999.91</v>
      </c>
      <c r="H1387" s="1" t="str">
        <f>_xlfn.XLOOKUP(C1387,Product!A:A,Product!B:B,"not found",0)</f>
        <v>Electra Townie Original 7D - 2015/2016</v>
      </c>
      <c r="I1387" s="1">
        <f t="shared" si="43"/>
        <v>999.91</v>
      </c>
    </row>
    <row r="1388" spans="1:9" x14ac:dyDescent="0.2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 s="1">
        <f t="shared" si="42"/>
        <v>549.91999999999996</v>
      </c>
      <c r="H1388" s="1" t="str">
        <f>_xlfn.XLOOKUP(C1388,Product!A:A,Product!B:B,"not found",0)</f>
        <v>Electra Townie Original 21D - 2016</v>
      </c>
      <c r="I1388" s="1">
        <f t="shared" si="43"/>
        <v>549.91999999999996</v>
      </c>
    </row>
    <row r="1389" spans="1:9" x14ac:dyDescent="0.2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 s="1">
        <f t="shared" si="42"/>
        <v>269.89</v>
      </c>
      <c r="H1389" s="1" t="str">
        <f>_xlfn.XLOOKUP(C1389,Product!A:A,Product!B:B,"not found",0)</f>
        <v>Electra Cruiser 1 (24-Inch) - 2016</v>
      </c>
      <c r="I1389" s="1">
        <f t="shared" si="43"/>
        <v>269.89</v>
      </c>
    </row>
    <row r="1390" spans="1:9" x14ac:dyDescent="0.2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 s="1">
        <f t="shared" si="42"/>
        <v>1548.93</v>
      </c>
      <c r="H1390" s="1" t="str">
        <f>_xlfn.XLOOKUP(C1390,Product!A:A,Product!B:B,"not found",0)</f>
        <v>Surly Straggler - 2016</v>
      </c>
      <c r="I1390" s="1">
        <f t="shared" si="43"/>
        <v>1548.93</v>
      </c>
    </row>
    <row r="1391" spans="1:9" x14ac:dyDescent="0.2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 s="1">
        <f t="shared" si="42"/>
        <v>1680.79</v>
      </c>
      <c r="H1391" s="1" t="str">
        <f>_xlfn.XLOOKUP(C1391,Product!A:A,Product!B:B,"not found",0)</f>
        <v>Surly Straggler 650b - 2016</v>
      </c>
      <c r="I1391" s="1">
        <f t="shared" si="43"/>
        <v>1680.79</v>
      </c>
    </row>
    <row r="1392" spans="1:9" x14ac:dyDescent="0.2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 s="1">
        <f t="shared" si="42"/>
        <v>529.91999999999996</v>
      </c>
      <c r="H1392" s="1" t="str">
        <f>_xlfn.XLOOKUP(C1392,Product!A:A,Product!B:B,"not found",0)</f>
        <v>Electra Moto 1 - 2016</v>
      </c>
      <c r="I1392" s="1">
        <f t="shared" si="43"/>
        <v>529.91999999999996</v>
      </c>
    </row>
    <row r="1393" spans="1:9" x14ac:dyDescent="0.2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 s="1">
        <f t="shared" si="42"/>
        <v>539.78</v>
      </c>
      <c r="H1393" s="1" t="str">
        <f>_xlfn.XLOOKUP(C1393,Product!A:A,Product!B:B,"not found",0)</f>
        <v>Electra Girl's Hawaii 1 (16-inch) - 2015/2016</v>
      </c>
      <c r="I1393" s="1">
        <f t="shared" si="43"/>
        <v>539.78</v>
      </c>
    </row>
    <row r="1394" spans="1:9" x14ac:dyDescent="0.2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 s="1">
        <f t="shared" si="42"/>
        <v>1199.8800000000001</v>
      </c>
      <c r="H1394" s="1" t="str">
        <f>_xlfn.XLOOKUP(C1394,Product!A:A,Product!B:B,"not found",0)</f>
        <v>Electra Townie Original 7D EQ - Women's - 2016</v>
      </c>
      <c r="I1394" s="1">
        <f t="shared" si="43"/>
        <v>1199.8800000000001</v>
      </c>
    </row>
    <row r="1395" spans="1:9" x14ac:dyDescent="0.2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 s="1">
        <f t="shared" si="42"/>
        <v>1099.93</v>
      </c>
      <c r="H1395" s="1" t="str">
        <f>_xlfn.XLOOKUP(C1395,Product!A:A,Product!B:B,"not found",0)</f>
        <v>Electra Townie Original 21D - 2016</v>
      </c>
      <c r="I1395" s="1">
        <f t="shared" si="43"/>
        <v>1099.93</v>
      </c>
    </row>
    <row r="1396" spans="1:9" x14ac:dyDescent="0.2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 s="1">
        <f t="shared" si="42"/>
        <v>269.79000000000002</v>
      </c>
      <c r="H1396" s="1" t="str">
        <f>_xlfn.XLOOKUP(C1396,Product!A:A,Product!B:B,"not found",0)</f>
        <v>Electra Girl's Hawaii 1 (16-inch) - 2015/2016</v>
      </c>
      <c r="I1396" s="1">
        <f t="shared" si="43"/>
        <v>269.79000000000002</v>
      </c>
    </row>
    <row r="1397" spans="1:9" x14ac:dyDescent="0.2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 s="1">
        <f t="shared" si="42"/>
        <v>897.95</v>
      </c>
      <c r="H1397" s="1" t="str">
        <f>_xlfn.XLOOKUP(C1397,Product!A:A,Product!B:B,"not found",0)</f>
        <v>Pure Cycles William 3-Speed - 2016</v>
      </c>
      <c r="I1397" s="1">
        <f t="shared" si="43"/>
        <v>897.95</v>
      </c>
    </row>
    <row r="1398" spans="1:9" x14ac:dyDescent="0.2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 s="1">
        <f t="shared" si="42"/>
        <v>1799.92</v>
      </c>
      <c r="H1398" s="1" t="str">
        <f>_xlfn.XLOOKUP(C1398,Product!A:A,Product!B:B,"not found",0)</f>
        <v>Trek Remedy 29 Carbon Frameset - 2016</v>
      </c>
      <c r="I1398" s="1">
        <f t="shared" si="43"/>
        <v>1799.92</v>
      </c>
    </row>
    <row r="1399" spans="1:9" x14ac:dyDescent="0.2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 s="1">
        <f t="shared" si="42"/>
        <v>269.89</v>
      </c>
      <c r="H1399" s="1" t="str">
        <f>_xlfn.XLOOKUP(C1399,Product!A:A,Product!B:B,"not found",0)</f>
        <v>Electra Girl's Hawaii 1 (16-inch) - 2015/2016</v>
      </c>
      <c r="I1399" s="1">
        <f t="shared" si="43"/>
        <v>269.89</v>
      </c>
    </row>
    <row r="1400" spans="1:9" x14ac:dyDescent="0.2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 s="1">
        <f t="shared" si="42"/>
        <v>599.91</v>
      </c>
      <c r="H1400" s="1" t="str">
        <f>_xlfn.XLOOKUP(C1400,Product!A:A,Product!B:B,"not found",0)</f>
        <v>Electra Girl's Hawaii 1 (20-inch) - 2015/2016</v>
      </c>
      <c r="I1400" s="1">
        <f t="shared" si="43"/>
        <v>599.91</v>
      </c>
    </row>
    <row r="1401" spans="1:9" x14ac:dyDescent="0.2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 s="1">
        <f t="shared" si="42"/>
        <v>269.94</v>
      </c>
      <c r="H1401" s="1" t="str">
        <f>_xlfn.XLOOKUP(C1401,Product!A:A,Product!B:B,"not found",0)</f>
        <v>Electra Cruiser 1 (24-Inch) - 2016</v>
      </c>
      <c r="I1401" s="1">
        <f t="shared" si="43"/>
        <v>269.94</v>
      </c>
    </row>
    <row r="1402" spans="1:9" x14ac:dyDescent="0.2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 s="1">
        <f t="shared" si="42"/>
        <v>539.91</v>
      </c>
      <c r="H1402" s="1" t="str">
        <f>_xlfn.XLOOKUP(C1402,Product!A:A,Product!B:B,"not found",0)</f>
        <v>Electra Cruiser 1 (24-Inch) - 2016</v>
      </c>
      <c r="I1402" s="1">
        <f t="shared" si="43"/>
        <v>539.91</v>
      </c>
    </row>
    <row r="1403" spans="1:9" x14ac:dyDescent="0.2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 s="1">
        <f t="shared" si="42"/>
        <v>1548.95</v>
      </c>
      <c r="H1403" s="1" t="str">
        <f>_xlfn.XLOOKUP(C1403,Product!A:A,Product!B:B,"not found",0)</f>
        <v>Surly Straggler - 2016</v>
      </c>
      <c r="I1403" s="1">
        <f t="shared" si="43"/>
        <v>1548.95</v>
      </c>
    </row>
    <row r="1404" spans="1:9" x14ac:dyDescent="0.2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 s="1">
        <f t="shared" si="42"/>
        <v>1099.8800000000001</v>
      </c>
      <c r="H1404" s="1" t="str">
        <f>_xlfn.XLOOKUP(C1404,Product!A:A,Product!B:B,"not found",0)</f>
        <v>Electra Townie Original 21D - 2016</v>
      </c>
      <c r="I1404" s="1">
        <f t="shared" si="43"/>
        <v>1099.8800000000001</v>
      </c>
    </row>
    <row r="1405" spans="1:9" x14ac:dyDescent="0.2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 s="1">
        <f t="shared" si="42"/>
        <v>1499.93</v>
      </c>
      <c r="H1405" s="1" t="str">
        <f>_xlfn.XLOOKUP(C1405,Product!A:A,Product!B:B,"not found",0)</f>
        <v>Ritchey Timberwolf Frameset - 2016</v>
      </c>
      <c r="I1405" s="1">
        <f t="shared" si="43"/>
        <v>1499.93</v>
      </c>
    </row>
    <row r="1406" spans="1:9" x14ac:dyDescent="0.2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 s="1">
        <f t="shared" si="42"/>
        <v>599.79</v>
      </c>
      <c r="H1406" s="1" t="str">
        <f>_xlfn.XLOOKUP(C1406,Product!A:A,Product!B:B,"not found",0)</f>
        <v>Electra Townie Original 7D EQ - 2016</v>
      </c>
      <c r="I1406" s="1">
        <f t="shared" si="43"/>
        <v>599.79</v>
      </c>
    </row>
    <row r="1407" spans="1:9" x14ac:dyDescent="0.2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 s="1">
        <f t="shared" si="42"/>
        <v>499.89</v>
      </c>
      <c r="H1407" s="1" t="str">
        <f>_xlfn.XLOOKUP(C1407,Product!A:A,Product!B:B,"not found",0)</f>
        <v>Electra Townie Original 7D - 2015/2016</v>
      </c>
      <c r="I1407" s="1">
        <f t="shared" si="43"/>
        <v>499.89</v>
      </c>
    </row>
    <row r="1408" spans="1:9" x14ac:dyDescent="0.2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 s="1">
        <f t="shared" si="42"/>
        <v>3999.9199999999996</v>
      </c>
      <c r="H1408" s="1" t="str">
        <f>_xlfn.XLOOKUP(C1408,Product!A:A,Product!B:B,"not found",0)</f>
        <v>Trek Slash 8 27.5 - 2016</v>
      </c>
      <c r="I1408" s="1">
        <f t="shared" si="43"/>
        <v>3999.9199999999996</v>
      </c>
    </row>
    <row r="1409" spans="1:9" x14ac:dyDescent="0.2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 s="1">
        <f t="shared" si="42"/>
        <v>3361.93</v>
      </c>
      <c r="H1409" s="1" t="str">
        <f>_xlfn.XLOOKUP(C1409,Product!A:A,Product!B:B,"not found",0)</f>
        <v>Surly Straggler 650b - 2016</v>
      </c>
      <c r="I1409" s="1">
        <f t="shared" si="43"/>
        <v>3361.93</v>
      </c>
    </row>
    <row r="1410" spans="1:9" x14ac:dyDescent="0.2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 s="1">
        <f t="shared" si="42"/>
        <v>539.91</v>
      </c>
      <c r="H1410" s="1" t="str">
        <f>_xlfn.XLOOKUP(C1410,Product!A:A,Product!B:B,"not found",0)</f>
        <v>Electra Cruiser 1 (24-Inch) - 2016</v>
      </c>
      <c r="I1410" s="1">
        <f t="shared" si="43"/>
        <v>539.91</v>
      </c>
    </row>
    <row r="1411" spans="1:9" x14ac:dyDescent="0.2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 s="1">
        <f t="shared" ref="G1411:G1474" si="44">(E1411*D1411)-F1411</f>
        <v>1199.8800000000001</v>
      </c>
      <c r="H1411" s="1" t="str">
        <f>_xlfn.XLOOKUP(C1411,Product!A:A,Product!B:B,"not found",0)</f>
        <v>Electra Townie Original 7D EQ - Women's - 2016</v>
      </c>
      <c r="I1411" s="1">
        <f t="shared" ref="I1411:I1474" si="45">(D1411*E1411)-F1411</f>
        <v>1199.8800000000001</v>
      </c>
    </row>
    <row r="1412" spans="1:9" x14ac:dyDescent="0.2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 s="1">
        <f t="shared" si="44"/>
        <v>1799.94</v>
      </c>
      <c r="H1412" s="1" t="str">
        <f>_xlfn.XLOOKUP(C1412,Product!A:A,Product!B:B,"not found",0)</f>
        <v>Trek Remedy 29 Carbon Frameset - 2016</v>
      </c>
      <c r="I1412" s="1">
        <f t="shared" si="45"/>
        <v>1799.94</v>
      </c>
    </row>
    <row r="1413" spans="1:9" x14ac:dyDescent="0.2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 s="1">
        <f t="shared" si="44"/>
        <v>1499.93</v>
      </c>
      <c r="H1413" s="1" t="str">
        <f>_xlfn.XLOOKUP(C1413,Product!A:A,Product!B:B,"not found",0)</f>
        <v>Ritchey Timberwolf Frameset - 2016</v>
      </c>
      <c r="I1413" s="1">
        <f t="shared" si="45"/>
        <v>1499.93</v>
      </c>
    </row>
    <row r="1414" spans="1:9" x14ac:dyDescent="0.2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 s="1">
        <f t="shared" si="44"/>
        <v>3097.95</v>
      </c>
      <c r="H1414" s="1" t="str">
        <f>_xlfn.XLOOKUP(C1414,Product!A:A,Product!B:B,"not found",0)</f>
        <v>Surly Straggler - 2016</v>
      </c>
      <c r="I1414" s="1">
        <f t="shared" si="45"/>
        <v>3097.95</v>
      </c>
    </row>
    <row r="1415" spans="1:9" x14ac:dyDescent="0.2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 s="1">
        <f t="shared" si="44"/>
        <v>499.92</v>
      </c>
      <c r="H1415" s="1" t="str">
        <f>_xlfn.XLOOKUP(C1415,Product!A:A,Product!B:B,"not found",0)</f>
        <v>Electra Townie Original 7D - 2015/2016</v>
      </c>
      <c r="I1415" s="1">
        <f t="shared" si="45"/>
        <v>499.92</v>
      </c>
    </row>
    <row r="1416" spans="1:9" x14ac:dyDescent="0.2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 s="1">
        <f t="shared" si="44"/>
        <v>599.78</v>
      </c>
      <c r="H1416" s="1" t="str">
        <f>_xlfn.XLOOKUP(C1416,Product!A:A,Product!B:B,"not found",0)</f>
        <v>Electra Girl's Hawaii 1 (20-inch) - 2015/2016</v>
      </c>
      <c r="I1416" s="1">
        <f t="shared" si="45"/>
        <v>599.78</v>
      </c>
    </row>
    <row r="1417" spans="1:9" x14ac:dyDescent="0.2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 s="1">
        <f t="shared" si="44"/>
        <v>5799.9299999999994</v>
      </c>
      <c r="H1417" s="1" t="str">
        <f>_xlfn.XLOOKUP(C1417,Product!A:A,Product!B:B,"not found",0)</f>
        <v>Trek Fuel EX 8 29 - 2016</v>
      </c>
      <c r="I1417" s="1">
        <f t="shared" si="45"/>
        <v>5799.9299999999994</v>
      </c>
    </row>
    <row r="1418" spans="1:9" x14ac:dyDescent="0.2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 s="1">
        <f t="shared" si="44"/>
        <v>428.9</v>
      </c>
      <c r="H1418" s="1" t="str">
        <f>_xlfn.XLOOKUP(C1418,Product!A:A,Product!B:B,"not found",0)</f>
        <v>Pure Cycles Vine 8-Speed - 2016</v>
      </c>
      <c r="I1418" s="1">
        <f t="shared" si="45"/>
        <v>428.9</v>
      </c>
    </row>
    <row r="1419" spans="1:9" x14ac:dyDescent="0.2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 s="1">
        <f t="shared" si="44"/>
        <v>539.93000000000006</v>
      </c>
      <c r="H1419" s="1" t="str">
        <f>_xlfn.XLOOKUP(C1419,Product!A:A,Product!B:B,"not found",0)</f>
        <v>Electra Girl's Hawaii 1 (16-inch) - 2015/2016</v>
      </c>
      <c r="I1419" s="1">
        <f t="shared" si="45"/>
        <v>539.93000000000006</v>
      </c>
    </row>
    <row r="1420" spans="1:9" x14ac:dyDescent="0.2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 s="1">
        <f t="shared" si="44"/>
        <v>269.89</v>
      </c>
      <c r="H1420" s="1" t="str">
        <f>_xlfn.XLOOKUP(C1420,Product!A:A,Product!B:B,"not found",0)</f>
        <v>Electra Cruiser 1 (24-Inch) - 2016</v>
      </c>
      <c r="I1420" s="1">
        <f t="shared" si="45"/>
        <v>269.89</v>
      </c>
    </row>
    <row r="1421" spans="1:9" x14ac:dyDescent="0.2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 s="1">
        <f t="shared" si="44"/>
        <v>269.92</v>
      </c>
      <c r="H1421" s="1" t="str">
        <f>_xlfn.XLOOKUP(C1421,Product!A:A,Product!B:B,"not found",0)</f>
        <v>Electra Cruiser 1 (24-Inch) - 2016</v>
      </c>
      <c r="I1421" s="1">
        <f t="shared" si="45"/>
        <v>269.92</v>
      </c>
    </row>
    <row r="1422" spans="1:9" x14ac:dyDescent="0.2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 s="1">
        <f t="shared" si="44"/>
        <v>3999.9199999999996</v>
      </c>
      <c r="H1422" s="1" t="str">
        <f>_xlfn.XLOOKUP(C1422,Product!A:A,Product!B:B,"not found",0)</f>
        <v>Trek Slash 8 27.5 - 2016</v>
      </c>
      <c r="I1422" s="1">
        <f t="shared" si="45"/>
        <v>3999.9199999999996</v>
      </c>
    </row>
    <row r="1423" spans="1:9" x14ac:dyDescent="0.2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 s="1">
        <f t="shared" si="44"/>
        <v>269.79000000000002</v>
      </c>
      <c r="H1423" s="1" t="str">
        <f>_xlfn.XLOOKUP(C1423,Product!A:A,Product!B:B,"not found",0)</f>
        <v>Electra Cruiser 1 (24-Inch) - 2016</v>
      </c>
      <c r="I1423" s="1">
        <f t="shared" si="45"/>
        <v>269.79000000000002</v>
      </c>
    </row>
    <row r="1424" spans="1:9" x14ac:dyDescent="0.2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 s="1">
        <f t="shared" si="44"/>
        <v>299.92</v>
      </c>
      <c r="H1424" s="1" t="str">
        <f>_xlfn.XLOOKUP(C1424,Product!A:A,Product!B:B,"not found",0)</f>
        <v>Electra Girl's Hawaii 1 (20-inch) - 2015/2016</v>
      </c>
      <c r="I1424" s="1">
        <f t="shared" si="45"/>
        <v>299.92</v>
      </c>
    </row>
    <row r="1425" spans="1:9" x14ac:dyDescent="0.2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 s="1">
        <f t="shared" si="44"/>
        <v>897.8</v>
      </c>
      <c r="H1425" s="1" t="str">
        <f>_xlfn.XLOOKUP(C1425,Product!A:A,Product!B:B,"not found",0)</f>
        <v>Pure Cycles Western 3-Speed - Women's - 2015/2016</v>
      </c>
      <c r="I1425" s="1">
        <f t="shared" si="45"/>
        <v>897.8</v>
      </c>
    </row>
    <row r="1426" spans="1:9" x14ac:dyDescent="0.2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 s="1">
        <f t="shared" si="44"/>
        <v>857.93</v>
      </c>
      <c r="H1426" s="1" t="str">
        <f>_xlfn.XLOOKUP(C1426,Product!A:A,Product!B:B,"not found",0)</f>
        <v>Pure Cycles Vine 8-Speed - 2016</v>
      </c>
      <c r="I1426" s="1">
        <f t="shared" si="45"/>
        <v>857.93</v>
      </c>
    </row>
    <row r="1427" spans="1:9" x14ac:dyDescent="0.2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 s="1">
        <f t="shared" si="44"/>
        <v>1799.92</v>
      </c>
      <c r="H1427" s="1" t="str">
        <f>_xlfn.XLOOKUP(C1427,Product!A:A,Product!B:B,"not found",0)</f>
        <v>Trek Remedy 29 Carbon Frameset - 2016</v>
      </c>
      <c r="I1427" s="1">
        <f t="shared" si="45"/>
        <v>1799.92</v>
      </c>
    </row>
    <row r="1428" spans="1:9" x14ac:dyDescent="0.2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 s="1">
        <f t="shared" si="44"/>
        <v>1320.89</v>
      </c>
      <c r="H1428" s="1" t="str">
        <f>_xlfn.XLOOKUP(C1428,Product!A:A,Product!B:B,"not found",0)</f>
        <v>Heller Shagamaw Frame - 2016</v>
      </c>
      <c r="I1428" s="1">
        <f t="shared" si="45"/>
        <v>1320.89</v>
      </c>
    </row>
    <row r="1429" spans="1:9" x14ac:dyDescent="0.2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 s="1">
        <f t="shared" si="44"/>
        <v>999.91</v>
      </c>
      <c r="H1429" s="1" t="str">
        <f>_xlfn.XLOOKUP(C1429,Product!A:A,Product!B:B,"not found",0)</f>
        <v>Electra Townie Original 7D - 2015/2016</v>
      </c>
      <c r="I1429" s="1">
        <f t="shared" si="45"/>
        <v>999.91</v>
      </c>
    </row>
    <row r="1430" spans="1:9" x14ac:dyDescent="0.2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 s="1">
        <f t="shared" si="44"/>
        <v>939.78</v>
      </c>
      <c r="H1430" s="1" t="str">
        <f>_xlfn.XLOOKUP(C1430,Product!A:A,Product!B:B,"not found",0)</f>
        <v>Surly Ice Cream Truck Frameset - 2016</v>
      </c>
      <c r="I1430" s="1">
        <f t="shared" si="45"/>
        <v>939.78</v>
      </c>
    </row>
    <row r="1431" spans="1:9" x14ac:dyDescent="0.2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 s="1">
        <f t="shared" si="44"/>
        <v>3999.9399999999996</v>
      </c>
      <c r="H1431" s="1" t="str">
        <f>_xlfn.XLOOKUP(C1431,Product!A:A,Product!B:B,"not found",0)</f>
        <v>Trek Slash 8 27.5 - 2016</v>
      </c>
      <c r="I1431" s="1">
        <f t="shared" si="45"/>
        <v>3999.9399999999996</v>
      </c>
    </row>
    <row r="1432" spans="1:9" x14ac:dyDescent="0.2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 s="1">
        <f t="shared" si="44"/>
        <v>2641.88</v>
      </c>
      <c r="H1432" s="1" t="str">
        <f>_xlfn.XLOOKUP(C1432,Product!A:A,Product!B:B,"not found",0)</f>
        <v>Heller Shagamaw Frame - 2016</v>
      </c>
      <c r="I1432" s="1">
        <f t="shared" si="45"/>
        <v>2641.88</v>
      </c>
    </row>
    <row r="1433" spans="1:9" x14ac:dyDescent="0.2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 s="1">
        <f t="shared" si="44"/>
        <v>539.91</v>
      </c>
      <c r="H1433" s="1" t="str">
        <f>_xlfn.XLOOKUP(C1433,Product!A:A,Product!B:B,"not found",0)</f>
        <v>Electra Cruiser 1 (24-Inch) - 2016</v>
      </c>
      <c r="I1433" s="1">
        <f t="shared" si="45"/>
        <v>539.91</v>
      </c>
    </row>
    <row r="1434" spans="1:9" x14ac:dyDescent="0.2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 s="1">
        <f t="shared" si="44"/>
        <v>1199.78</v>
      </c>
      <c r="H1434" s="1" t="str">
        <f>_xlfn.XLOOKUP(C1434,Product!A:A,Product!B:B,"not found",0)</f>
        <v>Electra Townie Original 7D EQ - 2016</v>
      </c>
      <c r="I1434" s="1">
        <f t="shared" si="45"/>
        <v>1199.78</v>
      </c>
    </row>
    <row r="1435" spans="1:9" x14ac:dyDescent="0.2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 s="1">
        <f t="shared" si="44"/>
        <v>2641.93</v>
      </c>
      <c r="H1435" s="1" t="str">
        <f>_xlfn.XLOOKUP(C1435,Product!A:A,Product!B:B,"not found",0)</f>
        <v>Heller Shagamaw Frame - 2016</v>
      </c>
      <c r="I1435" s="1">
        <f t="shared" si="45"/>
        <v>2641.93</v>
      </c>
    </row>
    <row r="1436" spans="1:9" x14ac:dyDescent="0.2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 s="1">
        <f t="shared" si="44"/>
        <v>999.93000000000006</v>
      </c>
      <c r="H1436" s="1" t="str">
        <f>_xlfn.XLOOKUP(C1436,Product!A:A,Product!B:B,"not found",0)</f>
        <v>Electra Townie Original 7D - 2015/2016</v>
      </c>
      <c r="I1436" s="1">
        <f t="shared" si="45"/>
        <v>999.93000000000006</v>
      </c>
    </row>
    <row r="1437" spans="1:9" x14ac:dyDescent="0.2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 s="1">
        <f t="shared" si="44"/>
        <v>1059.78</v>
      </c>
      <c r="H1437" s="1" t="str">
        <f>_xlfn.XLOOKUP(C1437,Product!A:A,Product!B:B,"not found",0)</f>
        <v>Electra Moto 1 - 2016</v>
      </c>
      <c r="I1437" s="1">
        <f t="shared" si="45"/>
        <v>1059.78</v>
      </c>
    </row>
    <row r="1438" spans="1:9" x14ac:dyDescent="0.2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 s="1">
        <f t="shared" si="44"/>
        <v>3361.91</v>
      </c>
      <c r="H1438" s="1" t="str">
        <f>_xlfn.XLOOKUP(C1438,Product!A:A,Product!B:B,"not found",0)</f>
        <v>Surly Straggler 650b - 2016</v>
      </c>
      <c r="I1438" s="1">
        <f t="shared" si="45"/>
        <v>3361.91</v>
      </c>
    </row>
    <row r="1439" spans="1:9" x14ac:dyDescent="0.2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 s="1">
        <f t="shared" si="44"/>
        <v>469.92</v>
      </c>
      <c r="H1439" s="1" t="str">
        <f>_xlfn.XLOOKUP(C1439,Product!A:A,Product!B:B,"not found",0)</f>
        <v>Surly Ice Cream Truck Frameset - 2016</v>
      </c>
      <c r="I1439" s="1">
        <f t="shared" si="45"/>
        <v>469.92</v>
      </c>
    </row>
    <row r="1440" spans="1:9" x14ac:dyDescent="0.2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 s="1">
        <f t="shared" si="44"/>
        <v>599.89</v>
      </c>
      <c r="H1440" s="1" t="str">
        <f>_xlfn.XLOOKUP(C1440,Product!A:A,Product!B:B,"not found",0)</f>
        <v>Electra Townie Original 7D EQ - 2016</v>
      </c>
      <c r="I1440" s="1">
        <f t="shared" si="45"/>
        <v>599.89</v>
      </c>
    </row>
    <row r="1441" spans="1:9" x14ac:dyDescent="0.2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 s="1">
        <f t="shared" si="44"/>
        <v>599.93000000000006</v>
      </c>
      <c r="H1441" s="1" t="str">
        <f>_xlfn.XLOOKUP(C1441,Product!A:A,Product!B:B,"not found",0)</f>
        <v>Electra Girl's Hawaii 1 (20-inch) - 2015/2016</v>
      </c>
      <c r="I1441" s="1">
        <f t="shared" si="45"/>
        <v>599.93000000000006</v>
      </c>
    </row>
    <row r="1442" spans="1:9" x14ac:dyDescent="0.2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 s="1">
        <f t="shared" si="44"/>
        <v>897.8</v>
      </c>
      <c r="H1442" s="1" t="str">
        <f>_xlfn.XLOOKUP(C1442,Product!A:A,Product!B:B,"not found",0)</f>
        <v>Pure Cycles Western 3-Speed - Women's - 2015/2016</v>
      </c>
      <c r="I1442" s="1">
        <f t="shared" si="45"/>
        <v>897.8</v>
      </c>
    </row>
    <row r="1443" spans="1:9" x14ac:dyDescent="0.2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 s="1">
        <f t="shared" si="44"/>
        <v>3999.9399999999996</v>
      </c>
      <c r="H1443" s="1" t="str">
        <f>_xlfn.XLOOKUP(C1443,Product!A:A,Product!B:B,"not found",0)</f>
        <v>Trek Slash 8 27.5 - 2016</v>
      </c>
      <c r="I1443" s="1">
        <f t="shared" si="45"/>
        <v>3999.9399999999996</v>
      </c>
    </row>
    <row r="1444" spans="1:9" x14ac:dyDescent="0.2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 s="1">
        <f t="shared" si="44"/>
        <v>599.89</v>
      </c>
      <c r="H1444" s="1" t="str">
        <f>_xlfn.XLOOKUP(C1444,Product!A:A,Product!B:B,"not found",0)</f>
        <v>Electra Townie Original 7D EQ - 2016</v>
      </c>
      <c r="I1444" s="1">
        <f t="shared" si="45"/>
        <v>599.89</v>
      </c>
    </row>
    <row r="1445" spans="1:9" x14ac:dyDescent="0.2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 s="1">
        <f t="shared" si="44"/>
        <v>549.79</v>
      </c>
      <c r="H1445" s="1" t="str">
        <f>_xlfn.XLOOKUP(C1445,Product!A:A,Product!B:B,"not found",0)</f>
        <v>Electra Townie Original 21D - 2016</v>
      </c>
      <c r="I1445" s="1">
        <f t="shared" si="45"/>
        <v>549.79</v>
      </c>
    </row>
    <row r="1446" spans="1:9" x14ac:dyDescent="0.2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 s="1">
        <f t="shared" si="44"/>
        <v>1548.93</v>
      </c>
      <c r="H1446" s="1" t="str">
        <f>_xlfn.XLOOKUP(C1446,Product!A:A,Product!B:B,"not found",0)</f>
        <v>Surly Straggler - 2016</v>
      </c>
      <c r="I1446" s="1">
        <f t="shared" si="45"/>
        <v>1548.93</v>
      </c>
    </row>
    <row r="1447" spans="1:9" x14ac:dyDescent="0.2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 s="1">
        <f t="shared" si="44"/>
        <v>1320.79</v>
      </c>
      <c r="H1447" s="1" t="str">
        <f>_xlfn.XLOOKUP(C1447,Product!A:A,Product!B:B,"not found",0)</f>
        <v>Heller Shagamaw Frame - 2016</v>
      </c>
      <c r="I1447" s="1">
        <f t="shared" si="45"/>
        <v>1320.79</v>
      </c>
    </row>
    <row r="1448" spans="1:9" x14ac:dyDescent="0.2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 s="1">
        <f t="shared" si="44"/>
        <v>269.79000000000002</v>
      </c>
      <c r="H1448" s="1" t="str">
        <f>_xlfn.XLOOKUP(C1448,Product!A:A,Product!B:B,"not found",0)</f>
        <v>Electra Girl's Hawaii 1 (16-inch) - 2015/2016</v>
      </c>
      <c r="I1448" s="1">
        <f t="shared" si="45"/>
        <v>269.79000000000002</v>
      </c>
    </row>
    <row r="1449" spans="1:9" x14ac:dyDescent="0.2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 s="1">
        <f t="shared" si="44"/>
        <v>5799.91</v>
      </c>
      <c r="H1449" s="1" t="str">
        <f>_xlfn.XLOOKUP(C1449,Product!A:A,Product!B:B,"not found",0)</f>
        <v>Trek Fuel EX 8 29 - 2016</v>
      </c>
      <c r="I1449" s="1">
        <f t="shared" si="45"/>
        <v>5799.91</v>
      </c>
    </row>
    <row r="1450" spans="1:9" x14ac:dyDescent="0.2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 s="1">
        <f t="shared" si="44"/>
        <v>539.91</v>
      </c>
      <c r="H1450" s="1" t="str">
        <f>_xlfn.XLOOKUP(C1450,Product!A:A,Product!B:B,"not found",0)</f>
        <v>Electra Girl's Hawaii 1 (16-inch) - 2015/2016</v>
      </c>
      <c r="I1450" s="1">
        <f t="shared" si="45"/>
        <v>539.91</v>
      </c>
    </row>
    <row r="1451" spans="1:9" x14ac:dyDescent="0.2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 s="1">
        <f t="shared" si="44"/>
        <v>269.94</v>
      </c>
      <c r="H1451" s="1" t="str">
        <f>_xlfn.XLOOKUP(C1451,Product!A:A,Product!B:B,"not found",0)</f>
        <v>Electra Cruiser 1 (24-Inch) - 2016</v>
      </c>
      <c r="I1451" s="1">
        <f t="shared" si="45"/>
        <v>269.94</v>
      </c>
    </row>
    <row r="1452" spans="1:9" x14ac:dyDescent="0.2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 s="1">
        <f t="shared" si="44"/>
        <v>549.79</v>
      </c>
      <c r="H1452" s="1" t="str">
        <f>_xlfn.XLOOKUP(C1452,Product!A:A,Product!B:B,"not found",0)</f>
        <v>Electra Townie Original 21D - 2016</v>
      </c>
      <c r="I1452" s="1">
        <f t="shared" si="45"/>
        <v>549.79</v>
      </c>
    </row>
    <row r="1453" spans="1:9" x14ac:dyDescent="0.2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 s="1">
        <f t="shared" si="44"/>
        <v>599.94000000000005</v>
      </c>
      <c r="H1453" s="1" t="str">
        <f>_xlfn.XLOOKUP(C1453,Product!A:A,Product!B:B,"not found",0)</f>
        <v>Electra Townie Original 7D EQ - Women's - 2016</v>
      </c>
      <c r="I1453" s="1">
        <f t="shared" si="45"/>
        <v>599.94000000000005</v>
      </c>
    </row>
    <row r="1454" spans="1:9" x14ac:dyDescent="0.2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 s="1">
        <f t="shared" si="44"/>
        <v>2641.88</v>
      </c>
      <c r="H1454" s="1" t="str">
        <f>_xlfn.XLOOKUP(C1454,Product!A:A,Product!B:B,"not found",0)</f>
        <v>Heller Shagamaw Frame - 2016</v>
      </c>
      <c r="I1454" s="1">
        <f t="shared" si="45"/>
        <v>2641.88</v>
      </c>
    </row>
    <row r="1455" spans="1:9" x14ac:dyDescent="0.2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 s="1">
        <f t="shared" si="44"/>
        <v>1199.9100000000001</v>
      </c>
      <c r="H1455" s="1" t="str">
        <f>_xlfn.XLOOKUP(C1455,Product!A:A,Product!B:B,"not found",0)</f>
        <v>Electra Townie Original 7D EQ - 2016</v>
      </c>
      <c r="I1455" s="1">
        <f t="shared" si="45"/>
        <v>1199.9100000000001</v>
      </c>
    </row>
    <row r="1456" spans="1:9" x14ac:dyDescent="0.2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 s="1">
        <f t="shared" si="44"/>
        <v>1680.92</v>
      </c>
      <c r="H1456" s="1" t="str">
        <f>_xlfn.XLOOKUP(C1456,Product!A:A,Product!B:B,"not found",0)</f>
        <v>Surly Straggler 650b - 2016</v>
      </c>
      <c r="I1456" s="1">
        <f t="shared" si="45"/>
        <v>1680.92</v>
      </c>
    </row>
    <row r="1457" spans="1:9" x14ac:dyDescent="0.2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 s="1">
        <f t="shared" si="44"/>
        <v>749.94</v>
      </c>
      <c r="H1457" s="1" t="str">
        <f>_xlfn.XLOOKUP(C1457,Product!A:A,Product!B:B,"not found",0)</f>
        <v>Ritchey Timberwolf Frameset - 2016</v>
      </c>
      <c r="I1457" s="1">
        <f t="shared" si="45"/>
        <v>749.94</v>
      </c>
    </row>
    <row r="1458" spans="1:9" x14ac:dyDescent="0.2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 s="1">
        <f t="shared" si="44"/>
        <v>2999.79</v>
      </c>
      <c r="H1458" s="1" t="str">
        <f>_xlfn.XLOOKUP(C1458,Product!A:A,Product!B:B,"not found",0)</f>
        <v>Trek Conduit+ - 2016</v>
      </c>
      <c r="I1458" s="1">
        <f t="shared" si="45"/>
        <v>2999.79</v>
      </c>
    </row>
    <row r="1459" spans="1:9" x14ac:dyDescent="0.2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 s="1">
        <f t="shared" si="44"/>
        <v>1999.91</v>
      </c>
      <c r="H1459" s="1" t="str">
        <f>_xlfn.XLOOKUP(C1459,Product!A:A,Product!B:B,"not found",0)</f>
        <v>Surly Wednesday Frameset - 2016</v>
      </c>
      <c r="I1459" s="1">
        <f t="shared" si="45"/>
        <v>1999.91</v>
      </c>
    </row>
    <row r="1460" spans="1:9" x14ac:dyDescent="0.2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 s="1">
        <f t="shared" si="44"/>
        <v>599.94000000000005</v>
      </c>
      <c r="H1460" s="1" t="str">
        <f>_xlfn.XLOOKUP(C1460,Product!A:A,Product!B:B,"not found",0)</f>
        <v>Electra Townie Original 7D EQ - 2016</v>
      </c>
      <c r="I1460" s="1">
        <f t="shared" si="45"/>
        <v>599.94000000000005</v>
      </c>
    </row>
    <row r="1461" spans="1:9" x14ac:dyDescent="0.2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 s="1">
        <f t="shared" si="44"/>
        <v>5999.91</v>
      </c>
      <c r="H1461" s="1" t="str">
        <f>_xlfn.XLOOKUP(C1461,Product!A:A,Product!B:B,"not found",0)</f>
        <v>Trek Conduit+ - 2016</v>
      </c>
      <c r="I1461" s="1">
        <f t="shared" si="45"/>
        <v>5999.91</v>
      </c>
    </row>
    <row r="1462" spans="1:9" x14ac:dyDescent="0.2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 s="1">
        <f t="shared" si="44"/>
        <v>939.91</v>
      </c>
      <c r="H1462" s="1" t="str">
        <f>_xlfn.XLOOKUP(C1462,Product!A:A,Product!B:B,"not found",0)</f>
        <v>Surly Ice Cream Truck Frameset - 2016</v>
      </c>
      <c r="I1462" s="1">
        <f t="shared" si="45"/>
        <v>939.91</v>
      </c>
    </row>
    <row r="1463" spans="1:9" x14ac:dyDescent="0.2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 s="1">
        <f t="shared" si="44"/>
        <v>1548.9</v>
      </c>
      <c r="H1463" s="1" t="str">
        <f>_xlfn.XLOOKUP(C1463,Product!A:A,Product!B:B,"not found",0)</f>
        <v>Surly Straggler - 2016</v>
      </c>
      <c r="I1463" s="1">
        <f t="shared" si="45"/>
        <v>1548.9</v>
      </c>
    </row>
    <row r="1464" spans="1:9" x14ac:dyDescent="0.2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 s="1">
        <f t="shared" si="44"/>
        <v>1999.88</v>
      </c>
      <c r="H1464" s="1" t="str">
        <f>_xlfn.XLOOKUP(C1464,Product!A:A,Product!B:B,"not found",0)</f>
        <v>Surly Wednesday Frameset - 2016</v>
      </c>
      <c r="I1464" s="1">
        <f t="shared" si="45"/>
        <v>1999.88</v>
      </c>
    </row>
    <row r="1465" spans="1:9" x14ac:dyDescent="0.2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 s="1">
        <f t="shared" si="44"/>
        <v>1799.89</v>
      </c>
      <c r="H1465" s="1" t="str">
        <f>_xlfn.XLOOKUP(C1465,Product!A:A,Product!B:B,"not found",0)</f>
        <v>Trek Remedy 29 Carbon Frameset - 2016</v>
      </c>
      <c r="I1465" s="1">
        <f t="shared" si="45"/>
        <v>1799.89</v>
      </c>
    </row>
    <row r="1466" spans="1:9" x14ac:dyDescent="0.2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 s="1">
        <f t="shared" si="44"/>
        <v>269.94</v>
      </c>
      <c r="H1466" s="1" t="str">
        <f>_xlfn.XLOOKUP(C1466,Product!A:A,Product!B:B,"not found",0)</f>
        <v>Electra Cruiser 1 (24-Inch) - 2016</v>
      </c>
      <c r="I1466" s="1">
        <f t="shared" si="45"/>
        <v>269.94</v>
      </c>
    </row>
    <row r="1467" spans="1:9" x14ac:dyDescent="0.2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 s="1">
        <f t="shared" si="44"/>
        <v>529.91999999999996</v>
      </c>
      <c r="H1467" s="1" t="str">
        <f>_xlfn.XLOOKUP(C1467,Product!A:A,Product!B:B,"not found",0)</f>
        <v>Electra Moto 1 - 2016</v>
      </c>
      <c r="I1467" s="1">
        <f t="shared" si="45"/>
        <v>529.91999999999996</v>
      </c>
    </row>
    <row r="1468" spans="1:9" x14ac:dyDescent="0.2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 s="1">
        <f t="shared" si="44"/>
        <v>897.93</v>
      </c>
      <c r="H1468" s="1" t="str">
        <f>_xlfn.XLOOKUP(C1468,Product!A:A,Product!B:B,"not found",0)</f>
        <v>Pure Cycles Western 3-Speed - Women's - 2015/2016</v>
      </c>
      <c r="I1468" s="1">
        <f t="shared" si="45"/>
        <v>897.93</v>
      </c>
    </row>
    <row r="1469" spans="1:9" x14ac:dyDescent="0.2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 s="1">
        <f t="shared" si="44"/>
        <v>2899.79</v>
      </c>
      <c r="H1469" s="1" t="str">
        <f>_xlfn.XLOOKUP(C1469,Product!A:A,Product!B:B,"not found",0)</f>
        <v>Trek Fuel EX 8 29 - 2016</v>
      </c>
      <c r="I1469" s="1">
        <f t="shared" si="45"/>
        <v>2899.79</v>
      </c>
    </row>
    <row r="1470" spans="1:9" x14ac:dyDescent="0.2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 s="1">
        <f t="shared" si="44"/>
        <v>448.9</v>
      </c>
      <c r="H1470" s="1" t="str">
        <f>_xlfn.XLOOKUP(C1470,Product!A:A,Product!B:B,"not found",0)</f>
        <v>Pure Cycles William 3-Speed - 2016</v>
      </c>
      <c r="I1470" s="1">
        <f t="shared" si="45"/>
        <v>448.9</v>
      </c>
    </row>
    <row r="1471" spans="1:9" x14ac:dyDescent="0.2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 s="1">
        <f t="shared" si="44"/>
        <v>5999.78</v>
      </c>
      <c r="H1471" s="1" t="str">
        <f>_xlfn.XLOOKUP(C1471,Product!A:A,Product!B:B,"not found",0)</f>
        <v>Trek Conduit+ - 2016</v>
      </c>
      <c r="I1471" s="1">
        <f t="shared" si="45"/>
        <v>5999.78</v>
      </c>
    </row>
    <row r="1472" spans="1:9" x14ac:dyDescent="0.2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 s="1">
        <f t="shared" si="44"/>
        <v>539.93000000000006</v>
      </c>
      <c r="H1472" s="1" t="str">
        <f>_xlfn.XLOOKUP(C1472,Product!A:A,Product!B:B,"not found",0)</f>
        <v>Electra Cruiser 1 (24-Inch) - 2016</v>
      </c>
      <c r="I1472" s="1">
        <f t="shared" si="45"/>
        <v>539.93000000000006</v>
      </c>
    </row>
    <row r="1473" spans="1:9" x14ac:dyDescent="0.2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 s="1">
        <f t="shared" si="44"/>
        <v>1099.9100000000001</v>
      </c>
      <c r="H1473" s="1" t="str">
        <f>_xlfn.XLOOKUP(C1473,Product!A:A,Product!B:B,"not found",0)</f>
        <v>Electra Townie Original 21D - 2016</v>
      </c>
      <c r="I1473" s="1">
        <f t="shared" si="45"/>
        <v>1099.9100000000001</v>
      </c>
    </row>
    <row r="1474" spans="1:9" x14ac:dyDescent="0.2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 s="1">
        <f t="shared" si="44"/>
        <v>1499.93</v>
      </c>
      <c r="H1474" s="1" t="str">
        <f>_xlfn.XLOOKUP(C1474,Product!A:A,Product!B:B,"not found",0)</f>
        <v>Ritchey Timberwolf Frameset - 2016</v>
      </c>
      <c r="I1474" s="1">
        <f t="shared" si="45"/>
        <v>1499.93</v>
      </c>
    </row>
    <row r="1475" spans="1:9" x14ac:dyDescent="0.2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 s="1">
        <f t="shared" ref="G1475:G1538" si="46">(E1475*D1475)-F1475</f>
        <v>2899.9199999999996</v>
      </c>
      <c r="H1475" s="1" t="str">
        <f>_xlfn.XLOOKUP(C1475,Product!A:A,Product!B:B,"not found",0)</f>
        <v>Trek Fuel EX 8 29 - 2016</v>
      </c>
      <c r="I1475" s="1">
        <f t="shared" ref="I1475:I1538" si="47">(D1475*E1475)-F1475</f>
        <v>2899.9199999999996</v>
      </c>
    </row>
    <row r="1476" spans="1:9" x14ac:dyDescent="0.2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 s="1">
        <f t="shared" si="46"/>
        <v>939.78</v>
      </c>
      <c r="H1476" s="1" t="str">
        <f>_xlfn.XLOOKUP(C1476,Product!A:A,Product!B:B,"not found",0)</f>
        <v>Surly Ice Cream Truck Frameset - 2016</v>
      </c>
      <c r="I1476" s="1">
        <f t="shared" si="47"/>
        <v>939.78</v>
      </c>
    </row>
    <row r="1477" spans="1:9" x14ac:dyDescent="0.2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 s="1">
        <f t="shared" si="46"/>
        <v>469.79</v>
      </c>
      <c r="H1477" s="1" t="str">
        <f>_xlfn.XLOOKUP(C1477,Product!A:A,Product!B:B,"not found",0)</f>
        <v>Surly Ice Cream Truck Frameset - 2016</v>
      </c>
      <c r="I1477" s="1">
        <f t="shared" si="47"/>
        <v>469.79</v>
      </c>
    </row>
    <row r="1478" spans="1:9" x14ac:dyDescent="0.2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 s="1">
        <f t="shared" si="46"/>
        <v>1099.78</v>
      </c>
      <c r="H1478" s="1" t="str">
        <f>_xlfn.XLOOKUP(C1478,Product!A:A,Product!B:B,"not found",0)</f>
        <v>Electra Townie Original 21D - 2016</v>
      </c>
      <c r="I1478" s="1">
        <f t="shared" si="47"/>
        <v>1099.78</v>
      </c>
    </row>
    <row r="1479" spans="1:9" x14ac:dyDescent="0.2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 s="1">
        <f t="shared" si="46"/>
        <v>499.92</v>
      </c>
      <c r="H1479" s="1" t="str">
        <f>_xlfn.XLOOKUP(C1479,Product!A:A,Product!B:B,"not found",0)</f>
        <v>Electra Townie Original 7D - 2015/2016</v>
      </c>
      <c r="I1479" s="1">
        <f t="shared" si="47"/>
        <v>499.92</v>
      </c>
    </row>
    <row r="1480" spans="1:9" x14ac:dyDescent="0.2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 s="1">
        <f t="shared" si="46"/>
        <v>857.93</v>
      </c>
      <c r="H1480" s="1" t="str">
        <f>_xlfn.XLOOKUP(C1480,Product!A:A,Product!B:B,"not found",0)</f>
        <v>Pure Cycles Vine 8-Speed - 2016</v>
      </c>
      <c r="I1480" s="1">
        <f t="shared" si="47"/>
        <v>857.93</v>
      </c>
    </row>
    <row r="1481" spans="1:9" x14ac:dyDescent="0.2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 s="1">
        <f t="shared" si="46"/>
        <v>1199.78</v>
      </c>
      <c r="H1481" s="1" t="str">
        <f>_xlfn.XLOOKUP(C1481,Product!A:A,Product!B:B,"not found",0)</f>
        <v>Electra Townie Original 7D EQ - 2016</v>
      </c>
      <c r="I1481" s="1">
        <f t="shared" si="47"/>
        <v>1199.78</v>
      </c>
    </row>
    <row r="1482" spans="1:9" x14ac:dyDescent="0.2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 s="1">
        <f t="shared" si="46"/>
        <v>549.89</v>
      </c>
      <c r="H1482" s="1" t="str">
        <f>_xlfn.XLOOKUP(C1482,Product!A:A,Product!B:B,"not found",0)</f>
        <v>Electra Townie Original 21D - 2016</v>
      </c>
      <c r="I1482" s="1">
        <f t="shared" si="47"/>
        <v>549.89</v>
      </c>
    </row>
    <row r="1483" spans="1:9" x14ac:dyDescent="0.2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 s="1">
        <f t="shared" si="46"/>
        <v>2899.79</v>
      </c>
      <c r="H1483" s="1" t="str">
        <f>_xlfn.XLOOKUP(C1483,Product!A:A,Product!B:B,"not found",0)</f>
        <v>Trek Fuel EX 8 29 - 2016</v>
      </c>
      <c r="I1483" s="1">
        <f t="shared" si="47"/>
        <v>2899.79</v>
      </c>
    </row>
    <row r="1484" spans="1:9" x14ac:dyDescent="0.2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 s="1">
        <f t="shared" si="46"/>
        <v>1099.8800000000001</v>
      </c>
      <c r="H1484" s="1" t="str">
        <f>_xlfn.XLOOKUP(C1484,Product!A:A,Product!B:B,"not found",0)</f>
        <v>Electra Townie Original 21D - 2016</v>
      </c>
      <c r="I1484" s="1">
        <f t="shared" si="47"/>
        <v>1099.8800000000001</v>
      </c>
    </row>
    <row r="1485" spans="1:9" x14ac:dyDescent="0.2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 s="1">
        <f t="shared" si="46"/>
        <v>1548.8</v>
      </c>
      <c r="H1485" s="1" t="str">
        <f>_xlfn.XLOOKUP(C1485,Product!A:A,Product!B:B,"not found",0)</f>
        <v>Surly Straggler - 2016</v>
      </c>
      <c r="I1485" s="1">
        <f t="shared" si="47"/>
        <v>1548.8</v>
      </c>
    </row>
    <row r="1486" spans="1:9" x14ac:dyDescent="0.2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 s="1">
        <f t="shared" si="46"/>
        <v>499.94</v>
      </c>
      <c r="H1486" s="1" t="str">
        <f>_xlfn.XLOOKUP(C1486,Product!A:A,Product!B:B,"not found",0)</f>
        <v>Electra Townie Original 7D - 2015/2016</v>
      </c>
      <c r="I1486" s="1">
        <f t="shared" si="47"/>
        <v>499.94</v>
      </c>
    </row>
    <row r="1487" spans="1:9" x14ac:dyDescent="0.2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 s="1">
        <f t="shared" si="46"/>
        <v>539.93000000000006</v>
      </c>
      <c r="H1487" s="1" t="str">
        <f>_xlfn.XLOOKUP(C1487,Product!A:A,Product!B:B,"not found",0)</f>
        <v>Electra Cruiser 1 (24-Inch) - 2016</v>
      </c>
      <c r="I1487" s="1">
        <f t="shared" si="47"/>
        <v>539.93000000000006</v>
      </c>
    </row>
    <row r="1488" spans="1:9" x14ac:dyDescent="0.2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 s="1">
        <f t="shared" si="46"/>
        <v>5999.9299999999994</v>
      </c>
      <c r="H1488" s="1" t="str">
        <f>_xlfn.XLOOKUP(C1488,Product!A:A,Product!B:B,"not found",0)</f>
        <v>Trek Conduit+ - 2016</v>
      </c>
      <c r="I1488" s="1">
        <f t="shared" si="47"/>
        <v>5999.9299999999994</v>
      </c>
    </row>
    <row r="1489" spans="1:9" x14ac:dyDescent="0.2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 s="1">
        <f t="shared" si="46"/>
        <v>749.92</v>
      </c>
      <c r="H1489" s="1" t="str">
        <f>_xlfn.XLOOKUP(C1489,Product!A:A,Product!B:B,"not found",0)</f>
        <v>Ritchey Timberwolf Frameset - 2016</v>
      </c>
      <c r="I1489" s="1">
        <f t="shared" si="47"/>
        <v>749.92</v>
      </c>
    </row>
    <row r="1490" spans="1:9" x14ac:dyDescent="0.2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 s="1">
        <f t="shared" si="46"/>
        <v>1099.8800000000001</v>
      </c>
      <c r="H1490" s="1" t="str">
        <f>_xlfn.XLOOKUP(C1490,Product!A:A,Product!B:B,"not found",0)</f>
        <v>Electra Townie Original 21D - 2016</v>
      </c>
      <c r="I1490" s="1">
        <f t="shared" si="47"/>
        <v>1099.8800000000001</v>
      </c>
    </row>
    <row r="1491" spans="1:9" x14ac:dyDescent="0.2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 s="1">
        <f t="shared" si="46"/>
        <v>549.94000000000005</v>
      </c>
      <c r="H1491" s="1" t="str">
        <f>_xlfn.XLOOKUP(C1491,Product!A:A,Product!B:B,"not found",0)</f>
        <v>Electra Townie Original 21D - 2016</v>
      </c>
      <c r="I1491" s="1">
        <f t="shared" si="47"/>
        <v>549.94000000000005</v>
      </c>
    </row>
    <row r="1492" spans="1:9" x14ac:dyDescent="0.2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 s="1">
        <f t="shared" si="46"/>
        <v>529.89</v>
      </c>
      <c r="H1492" s="1" t="str">
        <f>_xlfn.XLOOKUP(C1492,Product!A:A,Product!B:B,"not found",0)</f>
        <v>Electra Moto 1 - 2016</v>
      </c>
      <c r="I1492" s="1">
        <f t="shared" si="47"/>
        <v>529.89</v>
      </c>
    </row>
    <row r="1493" spans="1:9" x14ac:dyDescent="0.2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 s="1">
        <f t="shared" si="46"/>
        <v>539.88</v>
      </c>
      <c r="H1493" s="1" t="str">
        <f>_xlfn.XLOOKUP(C1493,Product!A:A,Product!B:B,"not found",0)</f>
        <v>Electra Girl's Hawaii 1 (16-inch) - 2015/2016</v>
      </c>
      <c r="I1493" s="1">
        <f t="shared" si="47"/>
        <v>539.88</v>
      </c>
    </row>
    <row r="1494" spans="1:9" x14ac:dyDescent="0.2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 s="1">
        <f t="shared" si="46"/>
        <v>269.89</v>
      </c>
      <c r="H1494" s="1" t="str">
        <f>_xlfn.XLOOKUP(C1494,Product!A:A,Product!B:B,"not found",0)</f>
        <v>Electra Girl's Hawaii 1 (16-inch) - 2015/2016</v>
      </c>
      <c r="I1494" s="1">
        <f t="shared" si="47"/>
        <v>269.89</v>
      </c>
    </row>
    <row r="1495" spans="1:9" x14ac:dyDescent="0.2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 s="1">
        <f t="shared" si="46"/>
        <v>749.89</v>
      </c>
      <c r="H1495" s="1" t="str">
        <f>_xlfn.XLOOKUP(C1495,Product!A:A,Product!B:B,"not found",0)</f>
        <v>Ritchey Timberwolf Frameset - 2016</v>
      </c>
      <c r="I1495" s="1">
        <f t="shared" si="47"/>
        <v>749.89</v>
      </c>
    </row>
    <row r="1496" spans="1:9" x14ac:dyDescent="0.2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 s="1">
        <f t="shared" si="46"/>
        <v>1099.93</v>
      </c>
      <c r="H1496" s="1" t="str">
        <f>_xlfn.XLOOKUP(C1496,Product!A:A,Product!B:B,"not found",0)</f>
        <v>Electra Townie Original 21D - 2016</v>
      </c>
      <c r="I1496" s="1">
        <f t="shared" si="47"/>
        <v>1099.93</v>
      </c>
    </row>
    <row r="1497" spans="1:9" x14ac:dyDescent="0.2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 s="1">
        <f t="shared" si="46"/>
        <v>269.92</v>
      </c>
      <c r="H1497" s="1" t="str">
        <f>_xlfn.XLOOKUP(C1497,Product!A:A,Product!B:B,"not found",0)</f>
        <v>Electra Girl's Hawaii 1 (16-inch) - 2015/2016</v>
      </c>
      <c r="I1497" s="1">
        <f t="shared" si="47"/>
        <v>269.92</v>
      </c>
    </row>
    <row r="1498" spans="1:9" x14ac:dyDescent="0.2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 s="1">
        <f t="shared" si="46"/>
        <v>1548.95</v>
      </c>
      <c r="H1498" s="1" t="str">
        <f>_xlfn.XLOOKUP(C1498,Product!A:A,Product!B:B,"not found",0)</f>
        <v>Surly Straggler - 2016</v>
      </c>
      <c r="I1498" s="1">
        <f t="shared" si="47"/>
        <v>1548.95</v>
      </c>
    </row>
    <row r="1499" spans="1:9" x14ac:dyDescent="0.2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 s="1">
        <f t="shared" si="46"/>
        <v>599.94000000000005</v>
      </c>
      <c r="H1499" s="1" t="str">
        <f>_xlfn.XLOOKUP(C1499,Product!A:A,Product!B:B,"not found",0)</f>
        <v>Electra Townie Original 7D EQ - 2016</v>
      </c>
      <c r="I1499" s="1">
        <f t="shared" si="47"/>
        <v>599.94000000000005</v>
      </c>
    </row>
    <row r="1500" spans="1:9" x14ac:dyDescent="0.2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 s="1">
        <f t="shared" si="46"/>
        <v>857.9</v>
      </c>
      <c r="H1500" s="1" t="str">
        <f>_xlfn.XLOOKUP(C1500,Product!A:A,Product!B:B,"not found",0)</f>
        <v>Pure Cycles Vine 8-Speed - 2016</v>
      </c>
      <c r="I1500" s="1">
        <f t="shared" si="47"/>
        <v>857.9</v>
      </c>
    </row>
    <row r="1501" spans="1:9" x14ac:dyDescent="0.2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 s="1">
        <f t="shared" si="46"/>
        <v>999.78</v>
      </c>
      <c r="H1501" s="1" t="str">
        <f>_xlfn.XLOOKUP(C1501,Product!A:A,Product!B:B,"not found",0)</f>
        <v>Electra Townie Original 7D - 2015/2016</v>
      </c>
      <c r="I1501" s="1">
        <f t="shared" si="47"/>
        <v>999.78</v>
      </c>
    </row>
    <row r="1502" spans="1:9" x14ac:dyDescent="0.2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 s="1">
        <f t="shared" si="46"/>
        <v>1499.78</v>
      </c>
      <c r="H1502" s="1" t="str">
        <f>_xlfn.XLOOKUP(C1502,Product!A:A,Product!B:B,"not found",0)</f>
        <v>Ritchey Timberwolf Frameset - 2016</v>
      </c>
      <c r="I1502" s="1">
        <f t="shared" si="47"/>
        <v>1499.78</v>
      </c>
    </row>
    <row r="1503" spans="1:9" x14ac:dyDescent="0.2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 s="1">
        <f t="shared" si="46"/>
        <v>5999.8799999999992</v>
      </c>
      <c r="H1503" s="1" t="str">
        <f>_xlfn.XLOOKUP(C1503,Product!A:A,Product!B:B,"not found",0)</f>
        <v>Trek Conduit+ - 2016</v>
      </c>
      <c r="I1503" s="1">
        <f t="shared" si="47"/>
        <v>5999.8799999999992</v>
      </c>
    </row>
    <row r="1504" spans="1:9" x14ac:dyDescent="0.2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 s="1">
        <f t="shared" si="46"/>
        <v>299.94</v>
      </c>
      <c r="H1504" s="1" t="str">
        <f>_xlfn.XLOOKUP(C1504,Product!A:A,Product!B:B,"not found",0)</f>
        <v>Electra Girl's Hawaii 1 (20-inch) - 2015/2016</v>
      </c>
      <c r="I1504" s="1">
        <f t="shared" si="47"/>
        <v>299.94</v>
      </c>
    </row>
    <row r="1505" spans="1:9" x14ac:dyDescent="0.2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 s="1">
        <f t="shared" si="46"/>
        <v>539.91</v>
      </c>
      <c r="H1505" s="1" t="str">
        <f>_xlfn.XLOOKUP(C1505,Product!A:A,Product!B:B,"not found",0)</f>
        <v>Electra Cruiser 1 (24-Inch) - 2016</v>
      </c>
      <c r="I1505" s="1">
        <f t="shared" si="47"/>
        <v>539.91</v>
      </c>
    </row>
    <row r="1506" spans="1:9" x14ac:dyDescent="0.2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 s="1">
        <f t="shared" si="46"/>
        <v>448.9</v>
      </c>
      <c r="H1506" s="1" t="str">
        <f>_xlfn.XLOOKUP(C1506,Product!A:A,Product!B:B,"not found",0)</f>
        <v>Pure Cycles William 3-Speed - 2016</v>
      </c>
      <c r="I1506" s="1">
        <f t="shared" si="47"/>
        <v>448.9</v>
      </c>
    </row>
    <row r="1507" spans="1:9" x14ac:dyDescent="0.2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 s="1">
        <f t="shared" si="46"/>
        <v>1199.8800000000001</v>
      </c>
      <c r="H1507" s="1" t="str">
        <f>_xlfn.XLOOKUP(C1507,Product!A:A,Product!B:B,"not found",0)</f>
        <v>Electra Townie Original 7D EQ - 2016</v>
      </c>
      <c r="I1507" s="1">
        <f t="shared" si="47"/>
        <v>1199.8800000000001</v>
      </c>
    </row>
    <row r="1508" spans="1:9" x14ac:dyDescent="0.2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 s="1">
        <f t="shared" si="46"/>
        <v>599.91</v>
      </c>
      <c r="H1508" s="1" t="str">
        <f>_xlfn.XLOOKUP(C1508,Product!A:A,Product!B:B,"not found",0)</f>
        <v>Electra Girl's Hawaii 1 (20-inch) - 2015/2016</v>
      </c>
      <c r="I1508" s="1">
        <f t="shared" si="47"/>
        <v>599.91</v>
      </c>
    </row>
    <row r="1509" spans="1:9" x14ac:dyDescent="0.2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 s="1">
        <f t="shared" si="46"/>
        <v>539.93000000000006</v>
      </c>
      <c r="H1509" s="1" t="str">
        <f>_xlfn.XLOOKUP(C1509,Product!A:A,Product!B:B,"not found",0)</f>
        <v>Electra Girl's Hawaii 1 (16-inch) - 2015/2016</v>
      </c>
      <c r="I1509" s="1">
        <f t="shared" si="47"/>
        <v>539.93000000000006</v>
      </c>
    </row>
    <row r="1510" spans="1:9" x14ac:dyDescent="0.2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 s="1">
        <f t="shared" si="46"/>
        <v>1199.78</v>
      </c>
      <c r="H1510" s="1" t="str">
        <f>_xlfn.XLOOKUP(C1510,Product!A:A,Product!B:B,"not found",0)</f>
        <v>Electra Townie Original 7D EQ - 2016</v>
      </c>
      <c r="I1510" s="1">
        <f t="shared" si="47"/>
        <v>1199.78</v>
      </c>
    </row>
    <row r="1511" spans="1:9" x14ac:dyDescent="0.2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 s="1">
        <f t="shared" si="46"/>
        <v>2999.89</v>
      </c>
      <c r="H1511" s="1" t="str">
        <f>_xlfn.XLOOKUP(C1511,Product!A:A,Product!B:B,"not found",0)</f>
        <v>Trek Conduit+ - 2016</v>
      </c>
      <c r="I1511" s="1">
        <f t="shared" si="47"/>
        <v>2999.89</v>
      </c>
    </row>
    <row r="1512" spans="1:9" x14ac:dyDescent="0.2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 s="1">
        <f t="shared" si="46"/>
        <v>599.89</v>
      </c>
      <c r="H1512" s="1" t="str">
        <f>_xlfn.XLOOKUP(C1512,Product!A:A,Product!B:B,"not found",0)</f>
        <v>Electra Townie Original 7D EQ - Women's - 2016</v>
      </c>
      <c r="I1512" s="1">
        <f t="shared" si="47"/>
        <v>599.89</v>
      </c>
    </row>
    <row r="1513" spans="1:9" x14ac:dyDescent="0.2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 s="1">
        <f t="shared" si="46"/>
        <v>897.8</v>
      </c>
      <c r="H1513" s="1" t="str">
        <f>_xlfn.XLOOKUP(C1513,Product!A:A,Product!B:B,"not found",0)</f>
        <v>Pure Cycles William 3-Speed - 2016</v>
      </c>
      <c r="I1513" s="1">
        <f t="shared" si="47"/>
        <v>897.8</v>
      </c>
    </row>
    <row r="1514" spans="1:9" x14ac:dyDescent="0.2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 s="1">
        <f t="shared" si="46"/>
        <v>499.79</v>
      </c>
      <c r="H1514" s="1" t="str">
        <f>_xlfn.XLOOKUP(C1514,Product!A:A,Product!B:B,"not found",0)</f>
        <v>Electra Townie Original 7D - 2015/2016</v>
      </c>
      <c r="I1514" s="1">
        <f t="shared" si="47"/>
        <v>499.79</v>
      </c>
    </row>
    <row r="1515" spans="1:9" x14ac:dyDescent="0.2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 s="1">
        <f t="shared" si="46"/>
        <v>448.8</v>
      </c>
      <c r="H1515" s="1" t="str">
        <f>_xlfn.XLOOKUP(C1515,Product!A:A,Product!B:B,"not found",0)</f>
        <v>Pure Cycles Western 3-Speed - Women's - 2015/2016</v>
      </c>
      <c r="I1515" s="1">
        <f t="shared" si="47"/>
        <v>448.8</v>
      </c>
    </row>
    <row r="1516" spans="1:9" x14ac:dyDescent="0.2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 s="1">
        <f t="shared" si="46"/>
        <v>1199.93</v>
      </c>
      <c r="H1516" s="1" t="str">
        <f>_xlfn.XLOOKUP(C1516,Product!A:A,Product!B:B,"not found",0)</f>
        <v>Electra Townie Original 7D EQ - 2016</v>
      </c>
      <c r="I1516" s="1">
        <f t="shared" si="47"/>
        <v>1199.93</v>
      </c>
    </row>
    <row r="1517" spans="1:9" x14ac:dyDescent="0.2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 s="1">
        <f t="shared" si="46"/>
        <v>549.94000000000005</v>
      </c>
      <c r="H1517" s="1" t="str">
        <f>_xlfn.XLOOKUP(C1517,Product!A:A,Product!B:B,"not found",0)</f>
        <v>Electra Townie Original 21D - 2016</v>
      </c>
      <c r="I1517" s="1">
        <f t="shared" si="47"/>
        <v>549.94000000000005</v>
      </c>
    </row>
    <row r="1518" spans="1:9" x14ac:dyDescent="0.2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 s="1">
        <f t="shared" si="46"/>
        <v>428.9</v>
      </c>
      <c r="H1518" s="1" t="str">
        <f>_xlfn.XLOOKUP(C1518,Product!A:A,Product!B:B,"not found",0)</f>
        <v>Pure Cycles Vine 8-Speed - 2016</v>
      </c>
      <c r="I1518" s="1">
        <f t="shared" si="47"/>
        <v>428.9</v>
      </c>
    </row>
    <row r="1519" spans="1:9" x14ac:dyDescent="0.2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 s="1">
        <f t="shared" si="46"/>
        <v>269.94</v>
      </c>
      <c r="H1519" s="1" t="str">
        <f>_xlfn.XLOOKUP(C1519,Product!A:A,Product!B:B,"not found",0)</f>
        <v>Electra Cruiser 1 (24-Inch) - 2016</v>
      </c>
      <c r="I1519" s="1">
        <f t="shared" si="47"/>
        <v>269.94</v>
      </c>
    </row>
    <row r="1520" spans="1:9" x14ac:dyDescent="0.2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 s="1">
        <f t="shared" si="46"/>
        <v>999.78</v>
      </c>
      <c r="H1520" s="1" t="str">
        <f>_xlfn.XLOOKUP(C1520,Product!A:A,Product!B:B,"not found",0)</f>
        <v>Electra Townie Original 7D - 2015/2016</v>
      </c>
      <c r="I1520" s="1">
        <f t="shared" si="47"/>
        <v>999.78</v>
      </c>
    </row>
    <row r="1521" spans="1:9" x14ac:dyDescent="0.2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 s="1">
        <f t="shared" si="46"/>
        <v>469.92</v>
      </c>
      <c r="H1521" s="1" t="str">
        <f>_xlfn.XLOOKUP(C1521,Product!A:A,Product!B:B,"not found",0)</f>
        <v>Surly Ice Cream Truck Frameset - 2016</v>
      </c>
      <c r="I1521" s="1">
        <f t="shared" si="47"/>
        <v>469.92</v>
      </c>
    </row>
    <row r="1522" spans="1:9" x14ac:dyDescent="0.2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 s="1">
        <f t="shared" si="46"/>
        <v>549.79</v>
      </c>
      <c r="H1522" s="1" t="str">
        <f>_xlfn.XLOOKUP(C1522,Product!A:A,Product!B:B,"not found",0)</f>
        <v>Electra Townie Original 21D - 2016</v>
      </c>
      <c r="I1522" s="1">
        <f t="shared" si="47"/>
        <v>549.79</v>
      </c>
    </row>
    <row r="1523" spans="1:9" x14ac:dyDescent="0.2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 s="1">
        <f t="shared" si="46"/>
        <v>1199.9100000000001</v>
      </c>
      <c r="H1523" s="1" t="str">
        <f>_xlfn.XLOOKUP(C1523,Product!A:A,Product!B:B,"not found",0)</f>
        <v>Electra Townie Original 7D EQ - Women's - 2016</v>
      </c>
      <c r="I1523" s="1">
        <f t="shared" si="47"/>
        <v>1199.9100000000001</v>
      </c>
    </row>
    <row r="1524" spans="1:9" x14ac:dyDescent="0.2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 s="1">
        <f t="shared" si="46"/>
        <v>857.95</v>
      </c>
      <c r="H1524" s="1" t="str">
        <f>_xlfn.XLOOKUP(C1524,Product!A:A,Product!B:B,"not found",0)</f>
        <v>Pure Cycles Vine 8-Speed - 2016</v>
      </c>
      <c r="I1524" s="1">
        <f t="shared" si="47"/>
        <v>857.95</v>
      </c>
    </row>
    <row r="1525" spans="1:9" x14ac:dyDescent="0.2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 s="1">
        <f t="shared" si="46"/>
        <v>1799.89</v>
      </c>
      <c r="H1525" s="1" t="str">
        <f>_xlfn.XLOOKUP(C1525,Product!A:A,Product!B:B,"not found",0)</f>
        <v>Trek Remedy 29 Carbon Frameset - 2016</v>
      </c>
      <c r="I1525" s="1">
        <f t="shared" si="47"/>
        <v>1799.89</v>
      </c>
    </row>
    <row r="1526" spans="1:9" x14ac:dyDescent="0.2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 s="1">
        <f t="shared" si="46"/>
        <v>897.93</v>
      </c>
      <c r="H1526" s="1" t="str">
        <f>_xlfn.XLOOKUP(C1526,Product!A:A,Product!B:B,"not found",0)</f>
        <v>Pure Cycles Western 3-Speed - Women's - 2015/2016</v>
      </c>
      <c r="I1526" s="1">
        <f t="shared" si="47"/>
        <v>897.93</v>
      </c>
    </row>
    <row r="1527" spans="1:9" x14ac:dyDescent="0.2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 s="1">
        <f t="shared" si="46"/>
        <v>3361.93</v>
      </c>
      <c r="H1527" s="1" t="str">
        <f>_xlfn.XLOOKUP(C1527,Product!A:A,Product!B:B,"not found",0)</f>
        <v>Surly Straggler 650b - 2016</v>
      </c>
      <c r="I1527" s="1">
        <f t="shared" si="47"/>
        <v>3361.93</v>
      </c>
    </row>
    <row r="1528" spans="1:9" x14ac:dyDescent="0.2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 s="1">
        <f t="shared" si="46"/>
        <v>2999.79</v>
      </c>
      <c r="H1528" s="1" t="str">
        <f>_xlfn.XLOOKUP(C1528,Product!A:A,Product!B:B,"not found",0)</f>
        <v>Trek Conduit+ - 2016</v>
      </c>
      <c r="I1528" s="1">
        <f t="shared" si="47"/>
        <v>2999.79</v>
      </c>
    </row>
    <row r="1529" spans="1:9" x14ac:dyDescent="0.2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 s="1">
        <f t="shared" si="46"/>
        <v>1320.89</v>
      </c>
      <c r="H1529" s="1" t="str">
        <f>_xlfn.XLOOKUP(C1529,Product!A:A,Product!B:B,"not found",0)</f>
        <v>Heller Shagamaw Frame - 2016</v>
      </c>
      <c r="I1529" s="1">
        <f t="shared" si="47"/>
        <v>1320.89</v>
      </c>
    </row>
    <row r="1530" spans="1:9" x14ac:dyDescent="0.2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 s="1">
        <f t="shared" si="46"/>
        <v>1799.89</v>
      </c>
      <c r="H1530" s="1" t="str">
        <f>_xlfn.XLOOKUP(C1530,Product!A:A,Product!B:B,"not found",0)</f>
        <v>Trek Remedy 29 Carbon Frameset - 2016</v>
      </c>
      <c r="I1530" s="1">
        <f t="shared" si="47"/>
        <v>1799.89</v>
      </c>
    </row>
    <row r="1531" spans="1:9" x14ac:dyDescent="0.2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 s="1">
        <f t="shared" si="46"/>
        <v>3361.91</v>
      </c>
      <c r="H1531" s="1" t="str">
        <f>_xlfn.XLOOKUP(C1531,Product!A:A,Product!B:B,"not found",0)</f>
        <v>Surly Straggler 650b - 2016</v>
      </c>
      <c r="I1531" s="1">
        <f t="shared" si="47"/>
        <v>3361.91</v>
      </c>
    </row>
    <row r="1532" spans="1:9" x14ac:dyDescent="0.2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 s="1">
        <f t="shared" si="46"/>
        <v>529.91999999999996</v>
      </c>
      <c r="H1532" s="1" t="str">
        <f>_xlfn.XLOOKUP(C1532,Product!A:A,Product!B:B,"not found",0)</f>
        <v>Electra Moto 1 - 2016</v>
      </c>
      <c r="I1532" s="1">
        <f t="shared" si="47"/>
        <v>529.91999999999996</v>
      </c>
    </row>
    <row r="1533" spans="1:9" x14ac:dyDescent="0.2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 s="1">
        <f t="shared" si="46"/>
        <v>599.94000000000005</v>
      </c>
      <c r="H1533" s="1" t="str">
        <f>_xlfn.XLOOKUP(C1533,Product!A:A,Product!B:B,"not found",0)</f>
        <v>Electra Townie Original 7D EQ - 2016</v>
      </c>
      <c r="I1533" s="1">
        <f t="shared" si="47"/>
        <v>599.94000000000005</v>
      </c>
    </row>
    <row r="1534" spans="1:9" x14ac:dyDescent="0.2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 s="1">
        <f t="shared" si="46"/>
        <v>999.92</v>
      </c>
      <c r="H1534" s="1" t="str">
        <f>_xlfn.XLOOKUP(C1534,Product!A:A,Product!B:B,"not found",0)</f>
        <v>Surly Wednesday Frameset - 2016</v>
      </c>
      <c r="I1534" s="1">
        <f t="shared" si="47"/>
        <v>999.92</v>
      </c>
    </row>
    <row r="1535" spans="1:9" x14ac:dyDescent="0.2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 s="1">
        <f t="shared" si="46"/>
        <v>3999.9399999999996</v>
      </c>
      <c r="H1535" s="1" t="str">
        <f>_xlfn.XLOOKUP(C1535,Product!A:A,Product!B:B,"not found",0)</f>
        <v>Trek Slash 8 27.5 - 2016</v>
      </c>
      <c r="I1535" s="1">
        <f t="shared" si="47"/>
        <v>3999.9399999999996</v>
      </c>
    </row>
    <row r="1536" spans="1:9" x14ac:dyDescent="0.2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 s="1">
        <f t="shared" si="46"/>
        <v>539.88</v>
      </c>
      <c r="H1536" s="1" t="str">
        <f>_xlfn.XLOOKUP(C1536,Product!A:A,Product!B:B,"not found",0)</f>
        <v>Electra Cruiser 1 (24-Inch) - 2016</v>
      </c>
      <c r="I1536" s="1">
        <f t="shared" si="47"/>
        <v>539.88</v>
      </c>
    </row>
    <row r="1537" spans="1:9" x14ac:dyDescent="0.2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 s="1">
        <f t="shared" si="46"/>
        <v>2899.9399999999996</v>
      </c>
      <c r="H1537" s="1" t="str">
        <f>_xlfn.XLOOKUP(C1537,Product!A:A,Product!B:B,"not found",0)</f>
        <v>Trek Fuel EX 8 29 - 2016</v>
      </c>
      <c r="I1537" s="1">
        <f t="shared" si="47"/>
        <v>2899.9399999999996</v>
      </c>
    </row>
    <row r="1538" spans="1:9" x14ac:dyDescent="0.2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 s="1">
        <f t="shared" si="46"/>
        <v>599.94000000000005</v>
      </c>
      <c r="H1538" s="1" t="str">
        <f>_xlfn.XLOOKUP(C1538,Product!A:A,Product!B:B,"not found",0)</f>
        <v>Electra Townie Original 7D EQ - 2016</v>
      </c>
      <c r="I1538" s="1">
        <f t="shared" si="47"/>
        <v>599.94000000000005</v>
      </c>
    </row>
    <row r="1539" spans="1:9" x14ac:dyDescent="0.2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 s="1">
        <f t="shared" ref="G1539:G1602" si="48">(E1539*D1539)-F1539</f>
        <v>599.91999999999996</v>
      </c>
      <c r="H1539" s="1" t="str">
        <f>_xlfn.XLOOKUP(C1539,Product!A:A,Product!B:B,"not found",0)</f>
        <v>Electra Townie Original 7D EQ - 2016</v>
      </c>
      <c r="I1539" s="1">
        <f t="shared" ref="I1539:I1602" si="49">(D1539*E1539)-F1539</f>
        <v>599.91999999999996</v>
      </c>
    </row>
    <row r="1540" spans="1:9" x14ac:dyDescent="0.2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 s="1">
        <f t="shared" si="48"/>
        <v>3361.78</v>
      </c>
      <c r="H1540" s="1" t="str">
        <f>_xlfn.XLOOKUP(C1540,Product!A:A,Product!B:B,"not found",0)</f>
        <v>Surly Straggler 650b - 2016</v>
      </c>
      <c r="I1540" s="1">
        <f t="shared" si="49"/>
        <v>3361.78</v>
      </c>
    </row>
    <row r="1541" spans="1:9" x14ac:dyDescent="0.2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 s="1">
        <f t="shared" si="48"/>
        <v>1059.78</v>
      </c>
      <c r="H1541" s="1" t="str">
        <f>_xlfn.XLOOKUP(C1541,Product!A:A,Product!B:B,"not found",0)</f>
        <v>Electra Moto 1 - 2016</v>
      </c>
      <c r="I1541" s="1">
        <f t="shared" si="49"/>
        <v>1059.78</v>
      </c>
    </row>
    <row r="1542" spans="1:9" x14ac:dyDescent="0.2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 s="1">
        <f t="shared" si="48"/>
        <v>299.79000000000002</v>
      </c>
      <c r="H1542" s="1" t="str">
        <f>_xlfn.XLOOKUP(C1542,Product!A:A,Product!B:B,"not found",0)</f>
        <v>Electra Girl's Hawaii 1 (20-inch) - 2015/2016</v>
      </c>
      <c r="I1542" s="1">
        <f t="shared" si="49"/>
        <v>299.79000000000002</v>
      </c>
    </row>
    <row r="1543" spans="1:9" x14ac:dyDescent="0.2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 s="1">
        <f t="shared" si="48"/>
        <v>749.79</v>
      </c>
      <c r="H1543" s="1" t="str">
        <f>_xlfn.XLOOKUP(C1543,Product!A:A,Product!B:B,"not found",0)</f>
        <v>Ritchey Timberwolf Frameset - 2016</v>
      </c>
      <c r="I1543" s="1">
        <f t="shared" si="49"/>
        <v>749.79</v>
      </c>
    </row>
    <row r="1544" spans="1:9" x14ac:dyDescent="0.2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 s="1">
        <f t="shared" si="48"/>
        <v>549.79</v>
      </c>
      <c r="H1544" s="1" t="str">
        <f>_xlfn.XLOOKUP(C1544,Product!A:A,Product!B:B,"not found",0)</f>
        <v>Electra Townie Original 21D - 2016</v>
      </c>
      <c r="I1544" s="1">
        <f t="shared" si="49"/>
        <v>549.79</v>
      </c>
    </row>
    <row r="1545" spans="1:9" x14ac:dyDescent="0.2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 s="1">
        <f t="shared" si="48"/>
        <v>448.9</v>
      </c>
      <c r="H1545" s="1" t="str">
        <f>_xlfn.XLOOKUP(C1545,Product!A:A,Product!B:B,"not found",0)</f>
        <v>Pure Cycles Western 3-Speed - Women's - 2015/2016</v>
      </c>
      <c r="I1545" s="1">
        <f t="shared" si="49"/>
        <v>448.9</v>
      </c>
    </row>
    <row r="1546" spans="1:9" x14ac:dyDescent="0.2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 s="1">
        <f t="shared" si="48"/>
        <v>897.8</v>
      </c>
      <c r="H1546" s="1" t="str">
        <f>_xlfn.XLOOKUP(C1546,Product!A:A,Product!B:B,"not found",0)</f>
        <v>Pure Cycles William 3-Speed - 2016</v>
      </c>
      <c r="I1546" s="1">
        <f t="shared" si="49"/>
        <v>897.8</v>
      </c>
    </row>
    <row r="1547" spans="1:9" x14ac:dyDescent="0.2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 s="1">
        <f t="shared" si="48"/>
        <v>549.89</v>
      </c>
      <c r="H1547" s="1" t="str">
        <f>_xlfn.XLOOKUP(C1547,Product!A:A,Product!B:B,"not found",0)</f>
        <v>Electra Townie Original 21D - 2016</v>
      </c>
      <c r="I1547" s="1">
        <f t="shared" si="49"/>
        <v>549.89</v>
      </c>
    </row>
    <row r="1548" spans="1:9" x14ac:dyDescent="0.2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 s="1">
        <f t="shared" si="48"/>
        <v>897.93</v>
      </c>
      <c r="H1548" s="1" t="str">
        <f>_xlfn.XLOOKUP(C1548,Product!A:A,Product!B:B,"not found",0)</f>
        <v>Pure Cycles Western 3-Speed - Women's - 2015/2016</v>
      </c>
      <c r="I1548" s="1">
        <f t="shared" si="49"/>
        <v>897.93</v>
      </c>
    </row>
    <row r="1549" spans="1:9" x14ac:dyDescent="0.2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 s="1">
        <f t="shared" si="48"/>
        <v>549.91999999999996</v>
      </c>
      <c r="H1549" s="1" t="str">
        <f>_xlfn.XLOOKUP(C1549,Product!A:A,Product!B:B,"not found",0)</f>
        <v>Electra Townie Original 21D - 2016</v>
      </c>
      <c r="I1549" s="1">
        <f t="shared" si="49"/>
        <v>549.91999999999996</v>
      </c>
    </row>
    <row r="1550" spans="1:9" x14ac:dyDescent="0.2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 s="1">
        <f t="shared" si="48"/>
        <v>1999.91</v>
      </c>
      <c r="H1550" s="1" t="str">
        <f>_xlfn.XLOOKUP(C1550,Product!A:A,Product!B:B,"not found",0)</f>
        <v>Surly Wednesday Frameset - 2016</v>
      </c>
      <c r="I1550" s="1">
        <f t="shared" si="49"/>
        <v>1999.91</v>
      </c>
    </row>
    <row r="1551" spans="1:9" x14ac:dyDescent="0.2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 s="1">
        <f t="shared" si="48"/>
        <v>269.94</v>
      </c>
      <c r="H1551" s="1" t="str">
        <f>_xlfn.XLOOKUP(C1551,Product!A:A,Product!B:B,"not found",0)</f>
        <v>Electra Girl's Hawaii 1 (16-inch) - 2015/2016</v>
      </c>
      <c r="I1551" s="1">
        <f t="shared" si="49"/>
        <v>269.94</v>
      </c>
    </row>
    <row r="1552" spans="1:9" x14ac:dyDescent="0.2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 s="1">
        <f t="shared" si="48"/>
        <v>5799.78</v>
      </c>
      <c r="H1552" s="1" t="str">
        <f>_xlfn.XLOOKUP(C1552,Product!A:A,Product!B:B,"not found",0)</f>
        <v>Trek Fuel EX 8 29 - 2016</v>
      </c>
      <c r="I1552" s="1">
        <f t="shared" si="49"/>
        <v>5799.78</v>
      </c>
    </row>
    <row r="1553" spans="1:9" x14ac:dyDescent="0.2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 s="1">
        <f t="shared" si="48"/>
        <v>1799.79</v>
      </c>
      <c r="H1553" s="1" t="str">
        <f>_xlfn.XLOOKUP(C1553,Product!A:A,Product!B:B,"not found",0)</f>
        <v>Trek Remedy 29 Carbon Frameset - 2016</v>
      </c>
      <c r="I1553" s="1">
        <f t="shared" si="49"/>
        <v>1799.79</v>
      </c>
    </row>
    <row r="1554" spans="1:9" x14ac:dyDescent="0.2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 s="1">
        <f t="shared" si="48"/>
        <v>3999.89</v>
      </c>
      <c r="H1554" s="1" t="str">
        <f>_xlfn.XLOOKUP(C1554,Product!A:A,Product!B:B,"not found",0)</f>
        <v>Trek Slash 8 27.5 - 2016</v>
      </c>
      <c r="I1554" s="1">
        <f t="shared" si="49"/>
        <v>3999.89</v>
      </c>
    </row>
    <row r="1555" spans="1:9" x14ac:dyDescent="0.2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 s="1">
        <f t="shared" si="48"/>
        <v>1199.9100000000001</v>
      </c>
      <c r="H1555" s="1" t="str">
        <f>_xlfn.XLOOKUP(C1555,Product!A:A,Product!B:B,"not found",0)</f>
        <v>Electra Townie Original 7D EQ - Women's - 2016</v>
      </c>
      <c r="I1555" s="1">
        <f t="shared" si="49"/>
        <v>1199.9100000000001</v>
      </c>
    </row>
    <row r="1556" spans="1:9" x14ac:dyDescent="0.2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 s="1">
        <f t="shared" si="48"/>
        <v>599.89</v>
      </c>
      <c r="H1556" s="1" t="str">
        <f>_xlfn.XLOOKUP(C1556,Product!A:A,Product!B:B,"not found",0)</f>
        <v>Electra Townie Original 7D EQ - 2016</v>
      </c>
      <c r="I1556" s="1">
        <f t="shared" si="49"/>
        <v>599.89</v>
      </c>
    </row>
    <row r="1557" spans="1:9" x14ac:dyDescent="0.2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 s="1">
        <f t="shared" si="48"/>
        <v>5799.78</v>
      </c>
      <c r="H1557" s="1" t="str">
        <f>_xlfn.XLOOKUP(C1557,Product!A:A,Product!B:B,"not found",0)</f>
        <v>Trek Fuel EX 8 29 - 2016</v>
      </c>
      <c r="I1557" s="1">
        <f t="shared" si="49"/>
        <v>5799.78</v>
      </c>
    </row>
    <row r="1558" spans="1:9" x14ac:dyDescent="0.2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 s="1">
        <f t="shared" si="48"/>
        <v>5999.8799999999992</v>
      </c>
      <c r="H1558" s="1" t="str">
        <f>_xlfn.XLOOKUP(C1558,Product!A:A,Product!B:B,"not found",0)</f>
        <v>Trek Conduit+ - 2016</v>
      </c>
      <c r="I1558" s="1">
        <f t="shared" si="49"/>
        <v>5999.8799999999992</v>
      </c>
    </row>
    <row r="1559" spans="1:9" x14ac:dyDescent="0.2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 s="1">
        <f t="shared" si="48"/>
        <v>1548.9</v>
      </c>
      <c r="H1559" s="1" t="str">
        <f>_xlfn.XLOOKUP(C1559,Product!A:A,Product!B:B,"not found",0)</f>
        <v>Surly Straggler - 2016</v>
      </c>
      <c r="I1559" s="1">
        <f t="shared" si="49"/>
        <v>1548.9</v>
      </c>
    </row>
    <row r="1560" spans="1:9" x14ac:dyDescent="0.2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 s="1">
        <f t="shared" si="48"/>
        <v>3999.9199999999996</v>
      </c>
      <c r="H1560" s="1" t="str">
        <f>_xlfn.XLOOKUP(C1560,Product!A:A,Product!B:B,"not found",0)</f>
        <v>Trek Slash 8 27.5 - 2016</v>
      </c>
      <c r="I1560" s="1">
        <f t="shared" si="49"/>
        <v>3999.9199999999996</v>
      </c>
    </row>
    <row r="1561" spans="1:9" x14ac:dyDescent="0.2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 s="1">
        <f t="shared" si="48"/>
        <v>599.91999999999996</v>
      </c>
      <c r="H1561" s="1" t="str">
        <f>_xlfn.XLOOKUP(C1561,Product!A:A,Product!B:B,"not found",0)</f>
        <v>Electra Townie Original 7D EQ - 2016</v>
      </c>
      <c r="I1561" s="1">
        <f t="shared" si="49"/>
        <v>599.91999999999996</v>
      </c>
    </row>
    <row r="1562" spans="1:9" x14ac:dyDescent="0.2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 s="1">
        <f t="shared" si="48"/>
        <v>2999.89</v>
      </c>
      <c r="H1562" s="1" t="str">
        <f>_xlfn.XLOOKUP(C1562,Product!A:A,Product!B:B,"not found",0)</f>
        <v>Trek Conduit+ - 2016</v>
      </c>
      <c r="I1562" s="1">
        <f t="shared" si="49"/>
        <v>2999.89</v>
      </c>
    </row>
    <row r="1563" spans="1:9" x14ac:dyDescent="0.2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 s="1">
        <f t="shared" si="48"/>
        <v>539.93000000000006</v>
      </c>
      <c r="H1563" s="1" t="str">
        <f>_xlfn.XLOOKUP(C1563,Product!A:A,Product!B:B,"not found",0)</f>
        <v>Electra Cruiser 1 (24-Inch) - 2016</v>
      </c>
      <c r="I1563" s="1">
        <f t="shared" si="49"/>
        <v>539.93000000000006</v>
      </c>
    </row>
    <row r="1564" spans="1:9" x14ac:dyDescent="0.2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 s="1">
        <f t="shared" si="48"/>
        <v>3097.93</v>
      </c>
      <c r="H1564" s="1" t="str">
        <f>_xlfn.XLOOKUP(C1564,Product!A:A,Product!B:B,"not found",0)</f>
        <v>Surly Straggler - 2016</v>
      </c>
      <c r="I1564" s="1">
        <f t="shared" si="49"/>
        <v>3097.93</v>
      </c>
    </row>
    <row r="1565" spans="1:9" x14ac:dyDescent="0.2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 s="1">
        <f t="shared" si="48"/>
        <v>1059.8800000000001</v>
      </c>
      <c r="H1565" s="1" t="str">
        <f>_xlfn.XLOOKUP(C1565,Product!A:A,Product!B:B,"not found",0)</f>
        <v>Electra Moto 1 - 2016</v>
      </c>
      <c r="I1565" s="1">
        <f t="shared" si="49"/>
        <v>1059.8800000000001</v>
      </c>
    </row>
    <row r="1566" spans="1:9" x14ac:dyDescent="0.2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 s="1">
        <f t="shared" si="48"/>
        <v>469.89</v>
      </c>
      <c r="H1566" s="1" t="str">
        <f>_xlfn.XLOOKUP(C1566,Product!A:A,Product!B:B,"not found",0)</f>
        <v>Surly Ice Cream Truck Frameset - 2016</v>
      </c>
      <c r="I1566" s="1">
        <f t="shared" si="49"/>
        <v>469.89</v>
      </c>
    </row>
    <row r="1567" spans="1:9" x14ac:dyDescent="0.2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 s="1">
        <f t="shared" si="48"/>
        <v>7999.91</v>
      </c>
      <c r="H1567" s="1" t="str">
        <f>_xlfn.XLOOKUP(C1567,Product!A:A,Product!B:B,"not found",0)</f>
        <v>Trek Slash 8 27.5 - 2016</v>
      </c>
      <c r="I1567" s="1">
        <f t="shared" si="49"/>
        <v>7999.91</v>
      </c>
    </row>
    <row r="1568" spans="1:9" x14ac:dyDescent="0.2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 s="1">
        <f t="shared" si="48"/>
        <v>599.94000000000005</v>
      </c>
      <c r="H1568" s="1" t="str">
        <f>_xlfn.XLOOKUP(C1568,Product!A:A,Product!B:B,"not found",0)</f>
        <v>Electra Townie Original 7D EQ - 2016</v>
      </c>
      <c r="I1568" s="1">
        <f t="shared" si="49"/>
        <v>599.94000000000005</v>
      </c>
    </row>
    <row r="1569" spans="1:9" x14ac:dyDescent="0.2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 s="1">
        <f t="shared" si="48"/>
        <v>1199.8800000000001</v>
      </c>
      <c r="H1569" s="1" t="str">
        <f>_xlfn.XLOOKUP(C1569,Product!A:A,Product!B:B,"not found",0)</f>
        <v>Electra Townie Original 7D EQ - 2016</v>
      </c>
      <c r="I1569" s="1">
        <f t="shared" si="49"/>
        <v>1199.8800000000001</v>
      </c>
    </row>
    <row r="1570" spans="1:9" x14ac:dyDescent="0.2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 s="1">
        <f t="shared" si="48"/>
        <v>1059.93</v>
      </c>
      <c r="H1570" s="1" t="str">
        <f>_xlfn.XLOOKUP(C1570,Product!A:A,Product!B:B,"not found",0)</f>
        <v>Electra Moto 1 - 2016</v>
      </c>
      <c r="I1570" s="1">
        <f t="shared" si="49"/>
        <v>1059.93</v>
      </c>
    </row>
    <row r="1571" spans="1:9" x14ac:dyDescent="0.2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 s="1">
        <f t="shared" si="48"/>
        <v>448.95</v>
      </c>
      <c r="H1571" s="1" t="str">
        <f>_xlfn.XLOOKUP(C1571,Product!A:A,Product!B:B,"not found",0)</f>
        <v>Pure Cycles Western 3-Speed - Women's - 2015/2016</v>
      </c>
      <c r="I1571" s="1">
        <f t="shared" si="49"/>
        <v>448.95</v>
      </c>
    </row>
    <row r="1572" spans="1:9" x14ac:dyDescent="0.2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 s="1">
        <f t="shared" si="48"/>
        <v>1320.94</v>
      </c>
      <c r="H1572" s="1" t="str">
        <f>_xlfn.XLOOKUP(C1572,Product!A:A,Product!B:B,"not found",0)</f>
        <v>Heller Shagamaw Frame - 2016</v>
      </c>
      <c r="I1572" s="1">
        <f t="shared" si="49"/>
        <v>1320.94</v>
      </c>
    </row>
    <row r="1573" spans="1:9" x14ac:dyDescent="0.2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 s="1">
        <f t="shared" si="48"/>
        <v>857.93</v>
      </c>
      <c r="H1573" s="1" t="str">
        <f>_xlfn.XLOOKUP(C1573,Product!A:A,Product!B:B,"not found",0)</f>
        <v>Pure Cycles Vine 8-Speed - 2016</v>
      </c>
      <c r="I1573" s="1">
        <f t="shared" si="49"/>
        <v>857.93</v>
      </c>
    </row>
    <row r="1574" spans="1:9" x14ac:dyDescent="0.2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 s="1">
        <f t="shared" si="48"/>
        <v>999.91</v>
      </c>
      <c r="H1574" s="1" t="str">
        <f>_xlfn.XLOOKUP(C1574,Product!A:A,Product!B:B,"not found",0)</f>
        <v>Electra Townie Original 7D - 2015/2016</v>
      </c>
      <c r="I1574" s="1">
        <f t="shared" si="49"/>
        <v>999.91</v>
      </c>
    </row>
    <row r="1575" spans="1:9" x14ac:dyDescent="0.2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 s="1">
        <f t="shared" si="48"/>
        <v>599.94000000000005</v>
      </c>
      <c r="H1575" s="1" t="str">
        <f>_xlfn.XLOOKUP(C1575,Product!A:A,Product!B:B,"not found",0)</f>
        <v>Electra Townie Original 7D EQ - 2016</v>
      </c>
      <c r="I1575" s="1">
        <f t="shared" si="49"/>
        <v>599.94000000000005</v>
      </c>
    </row>
    <row r="1576" spans="1:9" x14ac:dyDescent="0.2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 s="1">
        <f t="shared" si="48"/>
        <v>939.88</v>
      </c>
      <c r="H1576" s="1" t="str">
        <f>_xlfn.XLOOKUP(C1576,Product!A:A,Product!B:B,"not found",0)</f>
        <v>Surly Ice Cream Truck Frameset - 2016</v>
      </c>
      <c r="I1576" s="1">
        <f t="shared" si="49"/>
        <v>939.88</v>
      </c>
    </row>
    <row r="1577" spans="1:9" x14ac:dyDescent="0.2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 s="1">
        <f t="shared" si="48"/>
        <v>448.95</v>
      </c>
      <c r="H1577" s="1" t="str">
        <f>_xlfn.XLOOKUP(C1577,Product!A:A,Product!B:B,"not found",0)</f>
        <v>Pure Cycles William 3-Speed - 2016</v>
      </c>
      <c r="I1577" s="1">
        <f t="shared" si="49"/>
        <v>448.95</v>
      </c>
    </row>
    <row r="1578" spans="1:9" x14ac:dyDescent="0.2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 s="1">
        <f t="shared" si="48"/>
        <v>539.88</v>
      </c>
      <c r="H1578" s="1" t="str">
        <f>_xlfn.XLOOKUP(C1578,Product!A:A,Product!B:B,"not found",0)</f>
        <v>Electra Cruiser 1 (24-Inch) - 2016</v>
      </c>
      <c r="I1578" s="1">
        <f t="shared" si="49"/>
        <v>539.88</v>
      </c>
    </row>
    <row r="1579" spans="1:9" x14ac:dyDescent="0.2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 s="1">
        <f t="shared" si="48"/>
        <v>2899.79</v>
      </c>
      <c r="H1579" s="1" t="str">
        <f>_xlfn.XLOOKUP(C1579,Product!A:A,Product!B:B,"not found",0)</f>
        <v>Trek Fuel EX 8 29 - 2016</v>
      </c>
      <c r="I1579" s="1">
        <f t="shared" si="49"/>
        <v>2899.79</v>
      </c>
    </row>
    <row r="1580" spans="1:9" x14ac:dyDescent="0.2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 s="1">
        <f t="shared" si="48"/>
        <v>529.79</v>
      </c>
      <c r="H1580" s="1" t="str">
        <f>_xlfn.XLOOKUP(C1580,Product!A:A,Product!B:B,"not found",0)</f>
        <v>Electra Moto 1 - 2016</v>
      </c>
      <c r="I1580" s="1">
        <f t="shared" si="49"/>
        <v>529.79</v>
      </c>
    </row>
    <row r="1581" spans="1:9" x14ac:dyDescent="0.2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 s="1">
        <f t="shared" si="48"/>
        <v>448.8</v>
      </c>
      <c r="H1581" s="1" t="str">
        <f>_xlfn.XLOOKUP(C1581,Product!A:A,Product!B:B,"not found",0)</f>
        <v>Pure Cycles Western 3-Speed - Women's - 2015/2016</v>
      </c>
      <c r="I1581" s="1">
        <f t="shared" si="49"/>
        <v>448.8</v>
      </c>
    </row>
    <row r="1582" spans="1:9" x14ac:dyDescent="0.2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 s="1">
        <f t="shared" si="48"/>
        <v>999.88</v>
      </c>
      <c r="H1582" s="1" t="str">
        <f>_xlfn.XLOOKUP(C1582,Product!A:A,Product!B:B,"not found",0)</f>
        <v>Electra Townie Original 7D - 2015/2016</v>
      </c>
      <c r="I1582" s="1">
        <f t="shared" si="49"/>
        <v>999.88</v>
      </c>
    </row>
    <row r="1583" spans="1:9" x14ac:dyDescent="0.2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 s="1">
        <f t="shared" si="48"/>
        <v>2999.9399999999996</v>
      </c>
      <c r="H1583" s="1" t="str">
        <f>_xlfn.XLOOKUP(C1583,Product!A:A,Product!B:B,"not found",0)</f>
        <v>Trek Conduit+ - 2016</v>
      </c>
      <c r="I1583" s="1">
        <f t="shared" si="49"/>
        <v>2999.9399999999996</v>
      </c>
    </row>
    <row r="1584" spans="1:9" x14ac:dyDescent="0.2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 s="1">
        <f t="shared" si="48"/>
        <v>428.9</v>
      </c>
      <c r="H1584" s="1" t="str">
        <f>_xlfn.XLOOKUP(C1584,Product!A:A,Product!B:B,"not found",0)</f>
        <v>Pure Cycles Vine 8-Speed - 2016</v>
      </c>
      <c r="I1584" s="1">
        <f t="shared" si="49"/>
        <v>428.9</v>
      </c>
    </row>
    <row r="1585" spans="1:9" x14ac:dyDescent="0.2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 s="1">
        <f t="shared" si="48"/>
        <v>1099.9100000000001</v>
      </c>
      <c r="H1585" s="1" t="str">
        <f>_xlfn.XLOOKUP(C1585,Product!A:A,Product!B:B,"not found",0)</f>
        <v>Electra Townie Original 21D - 2016</v>
      </c>
      <c r="I1585" s="1">
        <f t="shared" si="49"/>
        <v>1099.9100000000001</v>
      </c>
    </row>
    <row r="1586" spans="1:9" x14ac:dyDescent="0.2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 s="1">
        <f t="shared" si="48"/>
        <v>7999.78</v>
      </c>
      <c r="H1586" s="1" t="str">
        <f>_xlfn.XLOOKUP(C1586,Product!A:A,Product!B:B,"not found",0)</f>
        <v>Trek Slash 8 27.5 - 2016</v>
      </c>
      <c r="I1586" s="1">
        <f t="shared" si="49"/>
        <v>7999.78</v>
      </c>
    </row>
    <row r="1587" spans="1:9" x14ac:dyDescent="0.2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 s="1">
        <f t="shared" si="48"/>
        <v>1799.89</v>
      </c>
      <c r="H1587" s="1" t="str">
        <f>_xlfn.XLOOKUP(C1587,Product!A:A,Product!B:B,"not found",0)</f>
        <v>Trek Remedy 29 Carbon Frameset - 2016</v>
      </c>
      <c r="I1587" s="1">
        <f t="shared" si="49"/>
        <v>1799.89</v>
      </c>
    </row>
    <row r="1588" spans="1:9" x14ac:dyDescent="0.2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 s="1">
        <f t="shared" si="48"/>
        <v>539.78</v>
      </c>
      <c r="H1588" s="1" t="str">
        <f>_xlfn.XLOOKUP(C1588,Product!A:A,Product!B:B,"not found",0)</f>
        <v>Electra Cruiser 1 (24-Inch) - 2016</v>
      </c>
      <c r="I1588" s="1">
        <f t="shared" si="49"/>
        <v>539.78</v>
      </c>
    </row>
    <row r="1589" spans="1:9" x14ac:dyDescent="0.2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 s="1">
        <f t="shared" si="48"/>
        <v>2999.79</v>
      </c>
      <c r="H1589" s="1" t="str">
        <f>_xlfn.XLOOKUP(C1589,Product!A:A,Product!B:B,"not found",0)</f>
        <v>Trek Conduit+ - 2016</v>
      </c>
      <c r="I1589" s="1">
        <f t="shared" si="49"/>
        <v>2999.79</v>
      </c>
    </row>
    <row r="1590" spans="1:9" x14ac:dyDescent="0.2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 s="1">
        <f t="shared" si="48"/>
        <v>1320.92</v>
      </c>
      <c r="H1590" s="1" t="str">
        <f>_xlfn.XLOOKUP(C1590,Product!A:A,Product!B:B,"not found",0)</f>
        <v>Heller Shagamaw Frame - 2016</v>
      </c>
      <c r="I1590" s="1">
        <f t="shared" si="49"/>
        <v>1320.92</v>
      </c>
    </row>
    <row r="1591" spans="1:9" x14ac:dyDescent="0.2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 s="1">
        <f t="shared" si="48"/>
        <v>1320.94</v>
      </c>
      <c r="H1591" s="1" t="str">
        <f>_xlfn.XLOOKUP(C1591,Product!A:A,Product!B:B,"not found",0)</f>
        <v>Heller Shagamaw Frame - 2016</v>
      </c>
      <c r="I1591" s="1">
        <f t="shared" si="49"/>
        <v>1320.94</v>
      </c>
    </row>
    <row r="1592" spans="1:9" x14ac:dyDescent="0.2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 s="1">
        <f t="shared" si="48"/>
        <v>1548.95</v>
      </c>
      <c r="H1592" s="1" t="str">
        <f>_xlfn.XLOOKUP(C1592,Product!A:A,Product!B:B,"not found",0)</f>
        <v>Surly Straggler - 2016</v>
      </c>
      <c r="I1592" s="1">
        <f t="shared" si="49"/>
        <v>1548.95</v>
      </c>
    </row>
    <row r="1593" spans="1:9" x14ac:dyDescent="0.2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 s="1">
        <f t="shared" si="48"/>
        <v>599.94000000000005</v>
      </c>
      <c r="H1593" s="1" t="str">
        <f>_xlfn.XLOOKUP(C1593,Product!A:A,Product!B:B,"not found",0)</f>
        <v>Electra Townie Original 7D EQ - 2016</v>
      </c>
      <c r="I1593" s="1">
        <f t="shared" si="49"/>
        <v>599.94000000000005</v>
      </c>
    </row>
    <row r="1594" spans="1:9" x14ac:dyDescent="0.2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 s="1">
        <f t="shared" si="48"/>
        <v>1099.8800000000001</v>
      </c>
      <c r="H1594" s="1" t="str">
        <f>_xlfn.XLOOKUP(C1594,Product!A:A,Product!B:B,"not found",0)</f>
        <v>Electra Townie Original 21D - 2016</v>
      </c>
      <c r="I1594" s="1">
        <f t="shared" si="49"/>
        <v>1099.8800000000001</v>
      </c>
    </row>
    <row r="1595" spans="1:9" x14ac:dyDescent="0.2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 s="1">
        <f t="shared" si="48"/>
        <v>448.93</v>
      </c>
      <c r="H1595" s="1" t="str">
        <f>_xlfn.XLOOKUP(C1595,Product!A:A,Product!B:B,"not found",0)</f>
        <v>Pure Cycles Western 3-Speed - Women's - 2015/2016</v>
      </c>
      <c r="I1595" s="1">
        <f t="shared" si="49"/>
        <v>448.93</v>
      </c>
    </row>
    <row r="1596" spans="1:9" x14ac:dyDescent="0.2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 s="1">
        <f t="shared" si="48"/>
        <v>1099.8800000000001</v>
      </c>
      <c r="H1596" s="1" t="str">
        <f>_xlfn.XLOOKUP(C1596,Product!A:A,Product!B:B,"not found",0)</f>
        <v>Electra Townie Original 21D - 2016</v>
      </c>
      <c r="I1596" s="1">
        <f t="shared" si="49"/>
        <v>1099.8800000000001</v>
      </c>
    </row>
    <row r="1597" spans="1:9" x14ac:dyDescent="0.2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 s="1">
        <f t="shared" si="48"/>
        <v>1999.78</v>
      </c>
      <c r="H1597" s="1" t="str">
        <f>_xlfn.XLOOKUP(C1597,Product!A:A,Product!B:B,"not found",0)</f>
        <v>Surly Wednesday Frameset - 2016</v>
      </c>
      <c r="I1597" s="1">
        <f t="shared" si="49"/>
        <v>1999.78</v>
      </c>
    </row>
    <row r="1598" spans="1:9" x14ac:dyDescent="0.2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 s="1">
        <f t="shared" si="48"/>
        <v>1680.89</v>
      </c>
      <c r="H1598" s="1" t="str">
        <f>_xlfn.XLOOKUP(C1598,Product!A:A,Product!B:B,"not found",0)</f>
        <v>Surly Straggler 650b - 2016</v>
      </c>
      <c r="I1598" s="1">
        <f t="shared" si="49"/>
        <v>1680.89</v>
      </c>
    </row>
    <row r="1599" spans="1:9" x14ac:dyDescent="0.2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 s="1">
        <f t="shared" si="48"/>
        <v>599.94000000000005</v>
      </c>
      <c r="H1599" s="1" t="str">
        <f>_xlfn.XLOOKUP(C1599,Product!A:A,Product!B:B,"not found",0)</f>
        <v>Electra Townie Original 7D EQ - 2016</v>
      </c>
      <c r="I1599" s="1">
        <f t="shared" si="49"/>
        <v>599.94000000000005</v>
      </c>
    </row>
    <row r="1600" spans="1:9" x14ac:dyDescent="0.2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 s="1">
        <f t="shared" si="48"/>
        <v>2899.9399999999996</v>
      </c>
      <c r="H1600" s="1" t="str">
        <f>_xlfn.XLOOKUP(C1600,Product!A:A,Product!B:B,"not found",0)</f>
        <v>Trek Fuel EX 8 29 - 2016</v>
      </c>
      <c r="I1600" s="1">
        <f t="shared" si="49"/>
        <v>2899.9399999999996</v>
      </c>
    </row>
    <row r="1601" spans="1:9" x14ac:dyDescent="0.2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 s="1">
        <f t="shared" si="48"/>
        <v>2999.89</v>
      </c>
      <c r="H1601" s="1" t="str">
        <f>_xlfn.XLOOKUP(C1601,Product!A:A,Product!B:B,"not found",0)</f>
        <v>Trek Conduit+ - 2016</v>
      </c>
      <c r="I1601" s="1">
        <f t="shared" si="49"/>
        <v>2999.89</v>
      </c>
    </row>
    <row r="1602" spans="1:9" x14ac:dyDescent="0.2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 s="1">
        <f t="shared" si="48"/>
        <v>999.94</v>
      </c>
      <c r="H1602" s="1" t="str">
        <f>_xlfn.XLOOKUP(C1602,Product!A:A,Product!B:B,"not found",0)</f>
        <v>Surly Wednesday Frameset - 2016</v>
      </c>
      <c r="I1602" s="1">
        <f t="shared" si="49"/>
        <v>999.94</v>
      </c>
    </row>
    <row r="1603" spans="1:9" x14ac:dyDescent="0.2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 s="1">
        <f t="shared" ref="G1603:G1666" si="50">(E1603*D1603)-F1603</f>
        <v>539.88</v>
      </c>
      <c r="H1603" s="1" t="str">
        <f>_xlfn.XLOOKUP(C1603,Product!A:A,Product!B:B,"not found",0)</f>
        <v>Electra Cruiser 1 (24-Inch) - 2016</v>
      </c>
      <c r="I1603" s="1">
        <f t="shared" ref="I1603:I1666" si="51">(D1603*E1603)-F1603</f>
        <v>539.88</v>
      </c>
    </row>
    <row r="1604" spans="1:9" x14ac:dyDescent="0.2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 s="1">
        <f t="shared" si="50"/>
        <v>3361.78</v>
      </c>
      <c r="H1604" s="1" t="str">
        <f>_xlfn.XLOOKUP(C1604,Product!A:A,Product!B:B,"not found",0)</f>
        <v>Surly Straggler 650b - 2016</v>
      </c>
      <c r="I1604" s="1">
        <f t="shared" si="51"/>
        <v>3361.78</v>
      </c>
    </row>
    <row r="1605" spans="1:9" x14ac:dyDescent="0.2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 s="1">
        <f t="shared" si="50"/>
        <v>749.79</v>
      </c>
      <c r="H1605" s="1" t="str">
        <f>_xlfn.XLOOKUP(C1605,Product!A:A,Product!B:B,"not found",0)</f>
        <v>Ritchey Timberwolf Frameset - 2016</v>
      </c>
      <c r="I1605" s="1">
        <f t="shared" si="51"/>
        <v>749.79</v>
      </c>
    </row>
    <row r="1606" spans="1:9" x14ac:dyDescent="0.2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 s="1">
        <f t="shared" si="50"/>
        <v>599.94000000000005</v>
      </c>
      <c r="H1606" s="1" t="str">
        <f>_xlfn.XLOOKUP(C1606,Product!A:A,Product!B:B,"not found",0)</f>
        <v>Electra Townie Original 7D EQ - 2016</v>
      </c>
      <c r="I1606" s="1">
        <f t="shared" si="51"/>
        <v>599.94000000000005</v>
      </c>
    </row>
    <row r="1607" spans="1:9" x14ac:dyDescent="0.2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 s="1">
        <f t="shared" si="50"/>
        <v>539.88</v>
      </c>
      <c r="H1607" s="1" t="str">
        <f>_xlfn.XLOOKUP(C1607,Product!A:A,Product!B:B,"not found",0)</f>
        <v>Electra Cruiser 1 (24-Inch) - 2016</v>
      </c>
      <c r="I1607" s="1">
        <f t="shared" si="51"/>
        <v>539.88</v>
      </c>
    </row>
    <row r="1608" spans="1:9" x14ac:dyDescent="0.2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 s="1">
        <f t="shared" si="50"/>
        <v>1099.8800000000001</v>
      </c>
      <c r="H1608" s="1" t="str">
        <f>_xlfn.XLOOKUP(C1608,Product!A:A,Product!B:B,"not found",0)</f>
        <v>Electra Townie Original 21D - 2016</v>
      </c>
      <c r="I1608" s="1">
        <f t="shared" si="51"/>
        <v>1099.8800000000001</v>
      </c>
    </row>
    <row r="1609" spans="1:9" x14ac:dyDescent="0.2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 s="1">
        <f t="shared" si="50"/>
        <v>599.88</v>
      </c>
      <c r="H1609" s="1" t="str">
        <f>_xlfn.XLOOKUP(C1609,Product!A:A,Product!B:B,"not found",0)</f>
        <v>Electra Girl's Hawaii 1 (20-inch) - 2015/2016</v>
      </c>
      <c r="I1609" s="1">
        <f t="shared" si="51"/>
        <v>599.88</v>
      </c>
    </row>
    <row r="1610" spans="1:9" x14ac:dyDescent="0.2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 s="1">
        <f t="shared" si="50"/>
        <v>3361.93</v>
      </c>
      <c r="H1610" s="1" t="str">
        <f>_xlfn.XLOOKUP(C1610,Product!A:A,Product!B:B,"not found",0)</f>
        <v>Surly Straggler 650b - 2016</v>
      </c>
      <c r="I1610" s="1">
        <f t="shared" si="51"/>
        <v>3361.93</v>
      </c>
    </row>
    <row r="1611" spans="1:9" x14ac:dyDescent="0.2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 s="1">
        <f t="shared" si="50"/>
        <v>5799.91</v>
      </c>
      <c r="H1611" s="1" t="str">
        <f>_xlfn.XLOOKUP(C1611,Product!A:A,Product!B:B,"not found",0)</f>
        <v>Trek Fuel EX 8 29 - 2016</v>
      </c>
      <c r="I1611" s="1">
        <f t="shared" si="51"/>
        <v>5799.91</v>
      </c>
    </row>
    <row r="1612" spans="1:9" x14ac:dyDescent="0.2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 s="1">
        <f t="shared" si="50"/>
        <v>549.79</v>
      </c>
      <c r="H1612" s="1" t="str">
        <f>_xlfn.XLOOKUP(C1612,Product!A:A,Product!B:B,"not found",0)</f>
        <v>Electra Townie Original 21D - 2016</v>
      </c>
      <c r="I1612" s="1">
        <f t="shared" si="51"/>
        <v>549.79</v>
      </c>
    </row>
    <row r="1613" spans="1:9" x14ac:dyDescent="0.2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 s="1">
        <f t="shared" si="50"/>
        <v>2999.89</v>
      </c>
      <c r="H1613" s="1" t="str">
        <f>_xlfn.XLOOKUP(C1613,Product!A:A,Product!B:B,"not found",0)</f>
        <v>Trek Conduit+ - 2016</v>
      </c>
      <c r="I1613" s="1">
        <f t="shared" si="51"/>
        <v>2999.89</v>
      </c>
    </row>
    <row r="1614" spans="1:9" x14ac:dyDescent="0.2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 s="1">
        <f t="shared" si="50"/>
        <v>1999.78</v>
      </c>
      <c r="H1614" s="1" t="str">
        <f>_xlfn.XLOOKUP(C1614,Product!A:A,Product!B:B,"not found",0)</f>
        <v>Surly Wednesday Frameset - 2016</v>
      </c>
      <c r="I1614" s="1">
        <f t="shared" si="51"/>
        <v>1999.78</v>
      </c>
    </row>
    <row r="1615" spans="1:9" x14ac:dyDescent="0.2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 s="1">
        <f t="shared" si="50"/>
        <v>269.92</v>
      </c>
      <c r="H1615" s="1" t="str">
        <f>_xlfn.XLOOKUP(C1615,Product!A:A,Product!B:B,"not found",0)</f>
        <v>Electra Cruiser 1 (24-Inch) - 2016</v>
      </c>
      <c r="I1615" s="1">
        <f t="shared" si="51"/>
        <v>269.92</v>
      </c>
    </row>
    <row r="1616" spans="1:9" x14ac:dyDescent="0.2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 s="1">
        <f t="shared" si="50"/>
        <v>999.78</v>
      </c>
      <c r="H1616" s="1" t="str">
        <f>_xlfn.XLOOKUP(C1616,Product!A:A,Product!B:B,"not found",0)</f>
        <v>Electra Townie Original 7D - 2015/2016</v>
      </c>
      <c r="I1616" s="1">
        <f t="shared" si="51"/>
        <v>999.78</v>
      </c>
    </row>
    <row r="1617" spans="1:9" x14ac:dyDescent="0.2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 s="1">
        <f t="shared" si="50"/>
        <v>897.95</v>
      </c>
      <c r="H1617" s="1" t="str">
        <f>_xlfn.XLOOKUP(C1617,Product!A:A,Product!B:B,"not found",0)</f>
        <v>Pure Cycles Western 3-Speed - Women's - 2015/2016</v>
      </c>
      <c r="I1617" s="1">
        <f t="shared" si="51"/>
        <v>897.95</v>
      </c>
    </row>
    <row r="1618" spans="1:9" x14ac:dyDescent="0.2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 s="1">
        <f t="shared" si="50"/>
        <v>3599.78</v>
      </c>
      <c r="H1618" s="1" t="str">
        <f>_xlfn.XLOOKUP(C1618,Product!A:A,Product!B:B,"not found",0)</f>
        <v>Trek Remedy 29 Carbon Frameset - 2016</v>
      </c>
      <c r="I1618" s="1">
        <f t="shared" si="51"/>
        <v>3599.78</v>
      </c>
    </row>
    <row r="1619" spans="1:9" x14ac:dyDescent="0.2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 s="1">
        <f t="shared" si="50"/>
        <v>7999.9299999999994</v>
      </c>
      <c r="H1619" s="1" t="str">
        <f>_xlfn.XLOOKUP(C1619,Product!A:A,Product!B:B,"not found",0)</f>
        <v>Trek Slash 8 27.5 - 2016</v>
      </c>
      <c r="I1619" s="1">
        <f t="shared" si="51"/>
        <v>7999.9299999999994</v>
      </c>
    </row>
    <row r="1620" spans="1:9" x14ac:dyDescent="0.2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 s="1">
        <f t="shared" si="50"/>
        <v>469.79</v>
      </c>
      <c r="H1620" s="1" t="str">
        <f>_xlfn.XLOOKUP(C1620,Product!A:A,Product!B:B,"not found",0)</f>
        <v>Surly Ice Cream Truck Frameset - 2016</v>
      </c>
      <c r="I1620" s="1">
        <f t="shared" si="51"/>
        <v>469.79</v>
      </c>
    </row>
    <row r="1621" spans="1:9" x14ac:dyDescent="0.2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 s="1">
        <f t="shared" si="50"/>
        <v>1199.78</v>
      </c>
      <c r="H1621" s="1" t="str">
        <f>_xlfn.XLOOKUP(C1621,Product!A:A,Product!B:B,"not found",0)</f>
        <v>Electra Townie Original 7D EQ - 2016</v>
      </c>
      <c r="I1621" s="1">
        <f t="shared" si="51"/>
        <v>1199.78</v>
      </c>
    </row>
    <row r="1622" spans="1:9" x14ac:dyDescent="0.2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 s="1">
        <f t="shared" si="50"/>
        <v>529.91999999999996</v>
      </c>
      <c r="H1622" s="1" t="str">
        <f>_xlfn.XLOOKUP(C1622,Product!A:A,Product!B:B,"not found",0)</f>
        <v>Electra Moto 1 - 2016</v>
      </c>
      <c r="I1622" s="1">
        <f t="shared" si="51"/>
        <v>529.91999999999996</v>
      </c>
    </row>
    <row r="1623" spans="1:9" x14ac:dyDescent="0.2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 s="1">
        <f t="shared" si="50"/>
        <v>539.78</v>
      </c>
      <c r="H1623" s="1" t="str">
        <f>_xlfn.XLOOKUP(C1623,Product!A:A,Product!B:B,"not found",0)</f>
        <v>Electra Cruiser 1 (24-Inch) - 2016</v>
      </c>
      <c r="I1623" s="1">
        <f t="shared" si="51"/>
        <v>539.78</v>
      </c>
    </row>
    <row r="1624" spans="1:9" x14ac:dyDescent="0.2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 s="1">
        <f t="shared" si="50"/>
        <v>5999.91</v>
      </c>
      <c r="H1624" s="1" t="str">
        <f>_xlfn.XLOOKUP(C1624,Product!A:A,Product!B:B,"not found",0)</f>
        <v>Trek Conduit+ - 2016</v>
      </c>
      <c r="I1624" s="1">
        <f t="shared" si="51"/>
        <v>5999.91</v>
      </c>
    </row>
    <row r="1625" spans="1:9" x14ac:dyDescent="0.2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 s="1">
        <f t="shared" si="50"/>
        <v>448.8</v>
      </c>
      <c r="H1625" s="1" t="str">
        <f>_xlfn.XLOOKUP(C1625,Product!A:A,Product!B:B,"not found",0)</f>
        <v>Pure Cycles William 3-Speed - 2016</v>
      </c>
      <c r="I1625" s="1">
        <f t="shared" si="51"/>
        <v>448.8</v>
      </c>
    </row>
    <row r="1626" spans="1:9" x14ac:dyDescent="0.2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 s="1">
        <f t="shared" si="50"/>
        <v>3599.91</v>
      </c>
      <c r="H1626" s="1" t="str">
        <f>_xlfn.XLOOKUP(C1626,Product!A:A,Product!B:B,"not found",0)</f>
        <v>Trek Remedy 29 Carbon Frameset - 2016</v>
      </c>
      <c r="I1626" s="1">
        <f t="shared" si="51"/>
        <v>3599.91</v>
      </c>
    </row>
    <row r="1627" spans="1:9" x14ac:dyDescent="0.2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 s="1">
        <f t="shared" si="50"/>
        <v>3097.8</v>
      </c>
      <c r="H1627" s="1" t="str">
        <f>_xlfn.XLOOKUP(C1627,Product!A:A,Product!B:B,"not found",0)</f>
        <v>Surly Straggler - 2016</v>
      </c>
      <c r="I1627" s="1">
        <f t="shared" si="51"/>
        <v>3097.8</v>
      </c>
    </row>
    <row r="1628" spans="1:9" x14ac:dyDescent="0.2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 s="1">
        <f t="shared" si="50"/>
        <v>857.93</v>
      </c>
      <c r="H1628" s="1" t="str">
        <f>_xlfn.XLOOKUP(C1628,Product!A:A,Product!B:B,"not found",0)</f>
        <v>Pure Cycles Vine 8-Speed - 2016</v>
      </c>
      <c r="I1628" s="1">
        <f t="shared" si="51"/>
        <v>857.93</v>
      </c>
    </row>
    <row r="1629" spans="1:9" x14ac:dyDescent="0.2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 s="1">
        <f t="shared" si="50"/>
        <v>1059.78</v>
      </c>
      <c r="H1629" s="1" t="str">
        <f>_xlfn.XLOOKUP(C1629,Product!A:A,Product!B:B,"not found",0)</f>
        <v>Electra Moto 1 - 2016</v>
      </c>
      <c r="I1629" s="1">
        <f t="shared" si="51"/>
        <v>1059.78</v>
      </c>
    </row>
    <row r="1630" spans="1:9" x14ac:dyDescent="0.2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 s="1">
        <f t="shared" si="50"/>
        <v>448.93</v>
      </c>
      <c r="H1630" s="1" t="str">
        <f>_xlfn.XLOOKUP(C1630,Product!A:A,Product!B:B,"not found",0)</f>
        <v>Pure Cycles William 3-Speed - 2016</v>
      </c>
      <c r="I1630" s="1">
        <f t="shared" si="51"/>
        <v>448.93</v>
      </c>
    </row>
    <row r="1631" spans="1:9" x14ac:dyDescent="0.2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 s="1">
        <f t="shared" si="50"/>
        <v>299.92</v>
      </c>
      <c r="H1631" s="1" t="str">
        <f>_xlfn.XLOOKUP(C1631,Product!A:A,Product!B:B,"not found",0)</f>
        <v>Electra Girl's Hawaii 1 (20-inch) - 2015/2016</v>
      </c>
      <c r="I1631" s="1">
        <f t="shared" si="51"/>
        <v>299.92</v>
      </c>
    </row>
    <row r="1632" spans="1:9" x14ac:dyDescent="0.2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 s="1">
        <f t="shared" si="50"/>
        <v>529.89</v>
      </c>
      <c r="H1632" s="1" t="str">
        <f>_xlfn.XLOOKUP(C1632,Product!A:A,Product!B:B,"not found",0)</f>
        <v>Electra Moto 1 - 2016</v>
      </c>
      <c r="I1632" s="1">
        <f t="shared" si="51"/>
        <v>529.89</v>
      </c>
    </row>
    <row r="1633" spans="1:9" x14ac:dyDescent="0.2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 s="1">
        <f t="shared" si="50"/>
        <v>269.94</v>
      </c>
      <c r="H1633" s="1" t="str">
        <f>_xlfn.XLOOKUP(C1633,Product!A:A,Product!B:B,"not found",0)</f>
        <v>Electra Girl's Hawaii 1 (16-inch) - 2015/2016</v>
      </c>
      <c r="I1633" s="1">
        <f t="shared" si="51"/>
        <v>269.94</v>
      </c>
    </row>
    <row r="1634" spans="1:9" x14ac:dyDescent="0.2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 s="1">
        <f t="shared" si="50"/>
        <v>3599.91</v>
      </c>
      <c r="H1634" s="1" t="str">
        <f>_xlfn.XLOOKUP(C1634,Product!A:A,Product!B:B,"not found",0)</f>
        <v>Trek Remedy 29 Carbon Frameset - 2016</v>
      </c>
      <c r="I1634" s="1">
        <f t="shared" si="51"/>
        <v>3599.91</v>
      </c>
    </row>
    <row r="1635" spans="1:9" x14ac:dyDescent="0.2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 s="1">
        <f t="shared" si="50"/>
        <v>1548.8</v>
      </c>
      <c r="H1635" s="1" t="str">
        <f>_xlfn.XLOOKUP(C1635,Product!A:A,Product!B:B,"not found",0)</f>
        <v>Surly Straggler - 2016</v>
      </c>
      <c r="I1635" s="1">
        <f t="shared" si="51"/>
        <v>1548.8</v>
      </c>
    </row>
    <row r="1636" spans="1:9" x14ac:dyDescent="0.2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 s="1">
        <f t="shared" si="50"/>
        <v>897.8</v>
      </c>
      <c r="H1636" s="1" t="str">
        <f>_xlfn.XLOOKUP(C1636,Product!A:A,Product!B:B,"not found",0)</f>
        <v>Pure Cycles Western 3-Speed - Women's - 2015/2016</v>
      </c>
      <c r="I1636" s="1">
        <f t="shared" si="51"/>
        <v>897.8</v>
      </c>
    </row>
    <row r="1637" spans="1:9" x14ac:dyDescent="0.2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 s="1">
        <f t="shared" si="50"/>
        <v>529.94000000000005</v>
      </c>
      <c r="H1637" s="1" t="str">
        <f>_xlfn.XLOOKUP(C1637,Product!A:A,Product!B:B,"not found",0)</f>
        <v>Electra Moto 1 - 2016</v>
      </c>
      <c r="I1637" s="1">
        <f t="shared" si="51"/>
        <v>529.94000000000005</v>
      </c>
    </row>
    <row r="1638" spans="1:9" x14ac:dyDescent="0.2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 s="1">
        <f t="shared" si="50"/>
        <v>1099.9100000000001</v>
      </c>
      <c r="H1638" s="1" t="str">
        <f>_xlfn.XLOOKUP(C1638,Product!A:A,Product!B:B,"not found",0)</f>
        <v>Electra Townie Original 21D - 2016</v>
      </c>
      <c r="I1638" s="1">
        <f t="shared" si="51"/>
        <v>1099.9100000000001</v>
      </c>
    </row>
    <row r="1639" spans="1:9" x14ac:dyDescent="0.2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 s="1">
        <f t="shared" si="50"/>
        <v>3361.88</v>
      </c>
      <c r="H1639" s="1" t="str">
        <f>_xlfn.XLOOKUP(C1639,Product!A:A,Product!B:B,"not found",0)</f>
        <v>Surly Straggler 650b - 2016</v>
      </c>
      <c r="I1639" s="1">
        <f t="shared" si="51"/>
        <v>3361.88</v>
      </c>
    </row>
    <row r="1640" spans="1:9" x14ac:dyDescent="0.2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 s="1">
        <f t="shared" si="50"/>
        <v>599.78</v>
      </c>
      <c r="H1640" s="1" t="str">
        <f>_xlfn.XLOOKUP(C1640,Product!A:A,Product!B:B,"not found",0)</f>
        <v>Electra Girl's Hawaii 1 (20-inch) - 2015/2016</v>
      </c>
      <c r="I1640" s="1">
        <f t="shared" si="51"/>
        <v>599.78</v>
      </c>
    </row>
    <row r="1641" spans="1:9" x14ac:dyDescent="0.2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 s="1">
        <f t="shared" si="50"/>
        <v>549.94000000000005</v>
      </c>
      <c r="H1641" s="1" t="str">
        <f>_xlfn.XLOOKUP(C1641,Product!A:A,Product!B:B,"not found",0)</f>
        <v>Electra Townie Original 21D - 2016</v>
      </c>
      <c r="I1641" s="1">
        <f t="shared" si="51"/>
        <v>549.94000000000005</v>
      </c>
    </row>
    <row r="1642" spans="1:9" x14ac:dyDescent="0.2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 s="1">
        <f t="shared" si="50"/>
        <v>299.94</v>
      </c>
      <c r="H1642" s="1" t="str">
        <f>_xlfn.XLOOKUP(C1642,Product!A:A,Product!B:B,"not found",0)</f>
        <v>Electra Girl's Hawaii 1 (20-inch) - 2015/2016</v>
      </c>
      <c r="I1642" s="1">
        <f t="shared" si="51"/>
        <v>299.94</v>
      </c>
    </row>
    <row r="1643" spans="1:9" x14ac:dyDescent="0.2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 s="1">
        <f t="shared" si="50"/>
        <v>448.95</v>
      </c>
      <c r="H1643" s="1" t="str">
        <f>_xlfn.XLOOKUP(C1643,Product!A:A,Product!B:B,"not found",0)</f>
        <v>Pure Cycles Western 3-Speed - Women's - 2015/2016</v>
      </c>
      <c r="I1643" s="1">
        <f t="shared" si="51"/>
        <v>448.95</v>
      </c>
    </row>
    <row r="1644" spans="1:9" x14ac:dyDescent="0.2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 s="1">
        <f t="shared" si="50"/>
        <v>269.79000000000002</v>
      </c>
      <c r="H1644" s="1" t="str">
        <f>_xlfn.XLOOKUP(C1644,Product!A:A,Product!B:B,"not found",0)</f>
        <v>Electra Cruiser 1 (24-Inch) - 2016</v>
      </c>
      <c r="I1644" s="1">
        <f t="shared" si="51"/>
        <v>269.79000000000002</v>
      </c>
    </row>
    <row r="1645" spans="1:9" x14ac:dyDescent="0.2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 s="1">
        <f t="shared" si="50"/>
        <v>3097.93</v>
      </c>
      <c r="H1645" s="1" t="str">
        <f>_xlfn.XLOOKUP(C1645,Product!A:A,Product!B:B,"not found",0)</f>
        <v>Surly Straggler - 2016</v>
      </c>
      <c r="I1645" s="1">
        <f t="shared" si="51"/>
        <v>3097.93</v>
      </c>
    </row>
    <row r="1646" spans="1:9" x14ac:dyDescent="0.2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 s="1">
        <f t="shared" si="50"/>
        <v>299.79000000000002</v>
      </c>
      <c r="H1646" s="1" t="str">
        <f>_xlfn.XLOOKUP(C1646,Product!A:A,Product!B:B,"not found",0)</f>
        <v>Electra Girl's Hawaii 1 (20-inch) - 2015/2016</v>
      </c>
      <c r="I1646" s="1">
        <f t="shared" si="51"/>
        <v>299.79000000000002</v>
      </c>
    </row>
    <row r="1647" spans="1:9" x14ac:dyDescent="0.2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 s="1">
        <f t="shared" si="50"/>
        <v>1059.93</v>
      </c>
      <c r="H1647" s="1" t="str">
        <f>_xlfn.XLOOKUP(C1647,Product!A:A,Product!B:B,"not found",0)</f>
        <v>Electra Moto 1 - 2016</v>
      </c>
      <c r="I1647" s="1">
        <f t="shared" si="51"/>
        <v>1059.93</v>
      </c>
    </row>
    <row r="1648" spans="1:9" x14ac:dyDescent="0.2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 s="1">
        <f t="shared" si="50"/>
        <v>1499.88</v>
      </c>
      <c r="H1648" s="1" t="str">
        <f>_xlfn.XLOOKUP(C1648,Product!A:A,Product!B:B,"not found",0)</f>
        <v>Ritchey Timberwolf Frameset - 2016</v>
      </c>
      <c r="I1648" s="1">
        <f t="shared" si="51"/>
        <v>1499.88</v>
      </c>
    </row>
    <row r="1649" spans="1:9" x14ac:dyDescent="0.2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 s="1">
        <f t="shared" si="50"/>
        <v>599.91999999999996</v>
      </c>
      <c r="H1649" s="1" t="str">
        <f>_xlfn.XLOOKUP(C1649,Product!A:A,Product!B:B,"not found",0)</f>
        <v>Electra Townie Original 7D EQ - Women's - 2016</v>
      </c>
      <c r="I1649" s="1">
        <f t="shared" si="51"/>
        <v>599.91999999999996</v>
      </c>
    </row>
    <row r="1650" spans="1:9" x14ac:dyDescent="0.2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 s="1">
        <f t="shared" si="50"/>
        <v>3599.93</v>
      </c>
      <c r="H1650" s="1" t="str">
        <f>_xlfn.XLOOKUP(C1650,Product!A:A,Product!B:B,"not found",0)</f>
        <v>Trek Remedy 29 Carbon Frameset - 2016</v>
      </c>
      <c r="I1650" s="1">
        <f t="shared" si="51"/>
        <v>3599.93</v>
      </c>
    </row>
    <row r="1651" spans="1:9" x14ac:dyDescent="0.2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 s="1">
        <f t="shared" si="50"/>
        <v>2641.88</v>
      </c>
      <c r="H1651" s="1" t="str">
        <f>_xlfn.XLOOKUP(C1651,Product!A:A,Product!B:B,"not found",0)</f>
        <v>Heller Shagamaw Frame - 2016</v>
      </c>
      <c r="I1651" s="1">
        <f t="shared" si="51"/>
        <v>2641.88</v>
      </c>
    </row>
    <row r="1652" spans="1:9" x14ac:dyDescent="0.2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 s="1">
        <f t="shared" si="50"/>
        <v>549.89</v>
      </c>
      <c r="H1652" s="1" t="str">
        <f>_xlfn.XLOOKUP(C1652,Product!A:A,Product!B:B,"not found",0)</f>
        <v>Electra Townie Original 21D - 2016</v>
      </c>
      <c r="I1652" s="1">
        <f t="shared" si="51"/>
        <v>549.89</v>
      </c>
    </row>
    <row r="1653" spans="1:9" x14ac:dyDescent="0.2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 s="1">
        <f t="shared" si="50"/>
        <v>1199.93</v>
      </c>
      <c r="H1653" s="1" t="str">
        <f>_xlfn.XLOOKUP(C1653,Product!A:A,Product!B:B,"not found",0)</f>
        <v>Electra Townie Original 7D EQ - 2016</v>
      </c>
      <c r="I1653" s="1">
        <f t="shared" si="51"/>
        <v>1199.93</v>
      </c>
    </row>
    <row r="1654" spans="1:9" x14ac:dyDescent="0.2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 s="1">
        <f t="shared" si="50"/>
        <v>999.93000000000006</v>
      </c>
      <c r="H1654" s="1" t="str">
        <f>_xlfn.XLOOKUP(C1654,Product!A:A,Product!B:B,"not found",0)</f>
        <v>Electra Townie Original 7D - 2015/2016</v>
      </c>
      <c r="I1654" s="1">
        <f t="shared" si="51"/>
        <v>999.93000000000006</v>
      </c>
    </row>
    <row r="1655" spans="1:9" x14ac:dyDescent="0.2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 s="1">
        <f t="shared" si="50"/>
        <v>1499.88</v>
      </c>
      <c r="H1655" s="1" t="str">
        <f>_xlfn.XLOOKUP(C1655,Product!A:A,Product!B:B,"not found",0)</f>
        <v>Ritchey Timberwolf Frameset - 2016</v>
      </c>
      <c r="I1655" s="1">
        <f t="shared" si="51"/>
        <v>1499.88</v>
      </c>
    </row>
    <row r="1656" spans="1:9" x14ac:dyDescent="0.2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 s="1">
        <f t="shared" si="50"/>
        <v>539.88</v>
      </c>
      <c r="H1656" s="1" t="str">
        <f>_xlfn.XLOOKUP(C1656,Product!A:A,Product!B:B,"not found",0)</f>
        <v>Electra Cruiser 1 (24-Inch) - 2016</v>
      </c>
      <c r="I1656" s="1">
        <f t="shared" si="51"/>
        <v>539.88</v>
      </c>
    </row>
    <row r="1657" spans="1:9" x14ac:dyDescent="0.2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 s="1">
        <f t="shared" si="50"/>
        <v>599.94000000000005</v>
      </c>
      <c r="H1657" s="1" t="str">
        <f>_xlfn.XLOOKUP(C1657,Product!A:A,Product!B:B,"not found",0)</f>
        <v>Electra Townie Original 7D EQ - 2016</v>
      </c>
      <c r="I1657" s="1">
        <f t="shared" si="51"/>
        <v>599.94000000000005</v>
      </c>
    </row>
    <row r="1658" spans="1:9" x14ac:dyDescent="0.2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 s="1">
        <f t="shared" si="50"/>
        <v>897.93</v>
      </c>
      <c r="H1658" s="1" t="str">
        <f>_xlfn.XLOOKUP(C1658,Product!A:A,Product!B:B,"not found",0)</f>
        <v>Pure Cycles Western 3-Speed - Women's - 2015/2016</v>
      </c>
      <c r="I1658" s="1">
        <f t="shared" si="51"/>
        <v>897.93</v>
      </c>
    </row>
    <row r="1659" spans="1:9" x14ac:dyDescent="0.2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 s="1">
        <f t="shared" si="50"/>
        <v>1999.88</v>
      </c>
      <c r="H1659" s="1" t="str">
        <f>_xlfn.XLOOKUP(C1659,Product!A:A,Product!B:B,"not found",0)</f>
        <v>Surly Wednesday Frameset - 2016</v>
      </c>
      <c r="I1659" s="1">
        <f t="shared" si="51"/>
        <v>1999.88</v>
      </c>
    </row>
    <row r="1660" spans="1:9" x14ac:dyDescent="0.2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 s="1">
        <f t="shared" si="50"/>
        <v>499.92</v>
      </c>
      <c r="H1660" s="1" t="str">
        <f>_xlfn.XLOOKUP(C1660,Product!A:A,Product!B:B,"not found",0)</f>
        <v>Electra Townie Original 7D - 2015/2016</v>
      </c>
      <c r="I1660" s="1">
        <f t="shared" si="51"/>
        <v>499.92</v>
      </c>
    </row>
    <row r="1661" spans="1:9" x14ac:dyDescent="0.2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 s="1">
        <f t="shared" si="50"/>
        <v>599.89</v>
      </c>
      <c r="H1661" s="1" t="str">
        <f>_xlfn.XLOOKUP(C1661,Product!A:A,Product!B:B,"not found",0)</f>
        <v>Electra Townie Original 7D EQ - 2016</v>
      </c>
      <c r="I1661" s="1">
        <f t="shared" si="51"/>
        <v>599.89</v>
      </c>
    </row>
    <row r="1662" spans="1:9" x14ac:dyDescent="0.2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 s="1">
        <f t="shared" si="50"/>
        <v>539.93000000000006</v>
      </c>
      <c r="H1662" s="1" t="str">
        <f>_xlfn.XLOOKUP(C1662,Product!A:A,Product!B:B,"not found",0)</f>
        <v>Electra Cruiser 1 (24-Inch) - 2016</v>
      </c>
      <c r="I1662" s="1">
        <f t="shared" si="51"/>
        <v>539.93000000000006</v>
      </c>
    </row>
    <row r="1663" spans="1:9" x14ac:dyDescent="0.2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 s="1">
        <f t="shared" si="50"/>
        <v>2899.9199999999996</v>
      </c>
      <c r="H1663" s="1" t="str">
        <f>_xlfn.XLOOKUP(C1663,Product!A:A,Product!B:B,"not found",0)</f>
        <v>Trek Fuel EX 8 29 - 2016</v>
      </c>
      <c r="I1663" s="1">
        <f t="shared" si="51"/>
        <v>2899.9199999999996</v>
      </c>
    </row>
    <row r="1664" spans="1:9" x14ac:dyDescent="0.2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 s="1">
        <f t="shared" si="50"/>
        <v>897.93</v>
      </c>
      <c r="H1664" s="1" t="str">
        <f>_xlfn.XLOOKUP(C1664,Product!A:A,Product!B:B,"not found",0)</f>
        <v>Pure Cycles William 3-Speed - 2016</v>
      </c>
      <c r="I1664" s="1">
        <f t="shared" si="51"/>
        <v>897.93</v>
      </c>
    </row>
    <row r="1665" spans="1:9" x14ac:dyDescent="0.2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 s="1">
        <f t="shared" si="50"/>
        <v>999.92</v>
      </c>
      <c r="H1665" s="1" t="str">
        <f>_xlfn.XLOOKUP(C1665,Product!A:A,Product!B:B,"not found",0)</f>
        <v>Surly Wednesday Frameset - 2016</v>
      </c>
      <c r="I1665" s="1">
        <f t="shared" si="51"/>
        <v>999.92</v>
      </c>
    </row>
    <row r="1666" spans="1:9" x14ac:dyDescent="0.2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 s="1">
        <f t="shared" si="50"/>
        <v>1548.93</v>
      </c>
      <c r="H1666" s="1" t="str">
        <f>_xlfn.XLOOKUP(C1666,Product!A:A,Product!B:B,"not found",0)</f>
        <v>Surly Straggler - 2016</v>
      </c>
      <c r="I1666" s="1">
        <f t="shared" si="51"/>
        <v>1548.93</v>
      </c>
    </row>
    <row r="1667" spans="1:9" x14ac:dyDescent="0.2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 s="1">
        <f t="shared" ref="G1667:G1730" si="52">(E1667*D1667)-F1667</f>
        <v>1199.93</v>
      </c>
      <c r="H1667" s="1" t="str">
        <f>_xlfn.XLOOKUP(C1667,Product!A:A,Product!B:B,"not found",0)</f>
        <v>Electra Townie Original 7D EQ - 2016</v>
      </c>
      <c r="I1667" s="1">
        <f t="shared" ref="I1667:I1730" si="53">(D1667*E1667)-F1667</f>
        <v>1199.93</v>
      </c>
    </row>
    <row r="1668" spans="1:9" x14ac:dyDescent="0.2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 s="1">
        <f t="shared" si="52"/>
        <v>1320.94</v>
      </c>
      <c r="H1668" s="1" t="str">
        <f>_xlfn.XLOOKUP(C1668,Product!A:A,Product!B:B,"not found",0)</f>
        <v>Heller Shagamaw Frame - 2016</v>
      </c>
      <c r="I1668" s="1">
        <f t="shared" si="53"/>
        <v>1320.94</v>
      </c>
    </row>
    <row r="1669" spans="1:9" x14ac:dyDescent="0.2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 s="1">
        <f t="shared" si="52"/>
        <v>599.88</v>
      </c>
      <c r="H1669" s="1" t="str">
        <f>_xlfn.XLOOKUP(C1669,Product!A:A,Product!B:B,"not found",0)</f>
        <v>Electra Girl's Hawaii 1 (20-inch) - 2015/2016</v>
      </c>
      <c r="I1669" s="1">
        <f t="shared" si="53"/>
        <v>599.88</v>
      </c>
    </row>
    <row r="1670" spans="1:9" x14ac:dyDescent="0.2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 s="1">
        <f t="shared" si="52"/>
        <v>2999.9399999999996</v>
      </c>
      <c r="H1670" s="1" t="str">
        <f>_xlfn.XLOOKUP(C1670,Product!A:A,Product!B:B,"not found",0)</f>
        <v>Trek Conduit+ - 2016</v>
      </c>
      <c r="I1670" s="1">
        <f t="shared" si="53"/>
        <v>2999.9399999999996</v>
      </c>
    </row>
    <row r="1671" spans="1:9" x14ac:dyDescent="0.2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 s="1">
        <f t="shared" si="52"/>
        <v>857.8</v>
      </c>
      <c r="H1671" s="1" t="str">
        <f>_xlfn.XLOOKUP(C1671,Product!A:A,Product!B:B,"not found",0)</f>
        <v>Pure Cycles Vine 8-Speed - 2016</v>
      </c>
      <c r="I1671" s="1">
        <f t="shared" si="53"/>
        <v>857.8</v>
      </c>
    </row>
    <row r="1672" spans="1:9" x14ac:dyDescent="0.2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 s="1">
        <f t="shared" si="52"/>
        <v>1799.92</v>
      </c>
      <c r="H1672" s="1" t="str">
        <f>_xlfn.XLOOKUP(C1672,Product!A:A,Product!B:B,"not found",0)</f>
        <v>Trek Remedy 29 Carbon Frameset - 2016</v>
      </c>
      <c r="I1672" s="1">
        <f t="shared" si="53"/>
        <v>1799.92</v>
      </c>
    </row>
    <row r="1673" spans="1:9" x14ac:dyDescent="0.2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 s="1">
        <f t="shared" si="52"/>
        <v>5799.9299999999994</v>
      </c>
      <c r="H1673" s="1" t="str">
        <f>_xlfn.XLOOKUP(C1673,Product!A:A,Product!B:B,"not found",0)</f>
        <v>Trek Fuel EX 8 29 - 2016</v>
      </c>
      <c r="I1673" s="1">
        <f t="shared" si="53"/>
        <v>5799.9299999999994</v>
      </c>
    </row>
    <row r="1674" spans="1:9" x14ac:dyDescent="0.2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 s="1">
        <f t="shared" si="52"/>
        <v>1199.9100000000001</v>
      </c>
      <c r="H1674" s="1" t="str">
        <f>_xlfn.XLOOKUP(C1674,Product!A:A,Product!B:B,"not found",0)</f>
        <v>Electra Townie Original 7D EQ - 2016</v>
      </c>
      <c r="I1674" s="1">
        <f t="shared" si="53"/>
        <v>1199.9100000000001</v>
      </c>
    </row>
    <row r="1675" spans="1:9" x14ac:dyDescent="0.2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 s="1">
        <f t="shared" si="52"/>
        <v>269.89</v>
      </c>
      <c r="H1675" s="1" t="str">
        <f>_xlfn.XLOOKUP(C1675,Product!A:A,Product!B:B,"not found",0)</f>
        <v>Electra Girl's Hawaii 1 (16-inch) - 2015/2016</v>
      </c>
      <c r="I1675" s="1">
        <f t="shared" si="53"/>
        <v>269.89</v>
      </c>
    </row>
    <row r="1676" spans="1:9" x14ac:dyDescent="0.2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 s="1">
        <f t="shared" si="52"/>
        <v>5999.9299999999994</v>
      </c>
      <c r="H1676" s="1" t="str">
        <f>_xlfn.XLOOKUP(C1676,Product!A:A,Product!B:B,"not found",0)</f>
        <v>Trek Conduit+ - 2016</v>
      </c>
      <c r="I1676" s="1">
        <f t="shared" si="53"/>
        <v>5999.9299999999994</v>
      </c>
    </row>
    <row r="1677" spans="1:9" x14ac:dyDescent="0.2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 s="1">
        <f t="shared" si="52"/>
        <v>539.78</v>
      </c>
      <c r="H1677" s="1" t="str">
        <f>_xlfn.XLOOKUP(C1677,Product!A:A,Product!B:B,"not found",0)</f>
        <v>Electra Girl's Hawaii 1 (16-inch) - 2015/2016</v>
      </c>
      <c r="I1677" s="1">
        <f t="shared" si="53"/>
        <v>539.78</v>
      </c>
    </row>
    <row r="1678" spans="1:9" x14ac:dyDescent="0.2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 s="1">
        <f t="shared" si="52"/>
        <v>299.92</v>
      </c>
      <c r="H1678" s="1" t="str">
        <f>_xlfn.XLOOKUP(C1678,Product!A:A,Product!B:B,"not found",0)</f>
        <v>Electra Girl's Hawaii 1 (20-inch) - 2015/2016</v>
      </c>
      <c r="I1678" s="1">
        <f t="shared" si="53"/>
        <v>299.92</v>
      </c>
    </row>
    <row r="1679" spans="1:9" x14ac:dyDescent="0.2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 s="1">
        <f t="shared" si="52"/>
        <v>3097.9</v>
      </c>
      <c r="H1679" s="1" t="str">
        <f>_xlfn.XLOOKUP(C1679,Product!A:A,Product!B:B,"not found",0)</f>
        <v>Surly Straggler - 2016</v>
      </c>
      <c r="I1679" s="1">
        <f t="shared" si="53"/>
        <v>3097.9</v>
      </c>
    </row>
    <row r="1680" spans="1:9" x14ac:dyDescent="0.2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 s="1">
        <f t="shared" si="52"/>
        <v>1199.9100000000001</v>
      </c>
      <c r="H1680" s="1" t="str">
        <f>_xlfn.XLOOKUP(C1680,Product!A:A,Product!B:B,"not found",0)</f>
        <v>Electra Townie Original 7D EQ - 2016</v>
      </c>
      <c r="I1680" s="1">
        <f t="shared" si="53"/>
        <v>1199.9100000000001</v>
      </c>
    </row>
    <row r="1681" spans="1:9" x14ac:dyDescent="0.2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 s="1">
        <f t="shared" si="52"/>
        <v>2899.79</v>
      </c>
      <c r="H1681" s="1" t="str">
        <f>_xlfn.XLOOKUP(C1681,Product!A:A,Product!B:B,"not found",0)</f>
        <v>Trek Fuel EX 8 29 - 2016</v>
      </c>
      <c r="I1681" s="1">
        <f t="shared" si="53"/>
        <v>2899.79</v>
      </c>
    </row>
    <row r="1682" spans="1:9" x14ac:dyDescent="0.2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 s="1">
        <f t="shared" si="52"/>
        <v>897.93</v>
      </c>
      <c r="H1682" s="1" t="str">
        <f>_xlfn.XLOOKUP(C1682,Product!A:A,Product!B:B,"not found",0)</f>
        <v>Pure Cycles Western 3-Speed - Women's - 2015/2016</v>
      </c>
      <c r="I1682" s="1">
        <f t="shared" si="53"/>
        <v>897.93</v>
      </c>
    </row>
    <row r="1683" spans="1:9" x14ac:dyDescent="0.2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 s="1">
        <f t="shared" si="52"/>
        <v>1099.78</v>
      </c>
      <c r="H1683" s="1" t="str">
        <f>_xlfn.XLOOKUP(C1683,Product!A:A,Product!B:B,"not found",0)</f>
        <v>Electra Townie Original 21D - 2016</v>
      </c>
      <c r="I1683" s="1">
        <f t="shared" si="53"/>
        <v>1099.78</v>
      </c>
    </row>
    <row r="1684" spans="1:9" x14ac:dyDescent="0.2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 s="1">
        <f t="shared" si="52"/>
        <v>1059.93</v>
      </c>
      <c r="H1684" s="1" t="str">
        <f>_xlfn.XLOOKUP(C1684,Product!A:A,Product!B:B,"not found",0)</f>
        <v>Electra Moto 1 - 2016</v>
      </c>
      <c r="I1684" s="1">
        <f t="shared" si="53"/>
        <v>1059.93</v>
      </c>
    </row>
    <row r="1685" spans="1:9" x14ac:dyDescent="0.2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 s="1">
        <f t="shared" si="52"/>
        <v>2641.91</v>
      </c>
      <c r="H1685" s="1" t="str">
        <f>_xlfn.XLOOKUP(C1685,Product!A:A,Product!B:B,"not found",0)</f>
        <v>Heller Shagamaw Frame - 2016</v>
      </c>
      <c r="I1685" s="1">
        <f t="shared" si="53"/>
        <v>2641.91</v>
      </c>
    </row>
    <row r="1686" spans="1:9" x14ac:dyDescent="0.2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 s="1">
        <f t="shared" si="52"/>
        <v>549.91999999999996</v>
      </c>
      <c r="H1686" s="1" t="str">
        <f>_xlfn.XLOOKUP(C1686,Product!A:A,Product!B:B,"not found",0)</f>
        <v>Electra Townie Original 21D - 2016</v>
      </c>
      <c r="I1686" s="1">
        <f t="shared" si="53"/>
        <v>549.91999999999996</v>
      </c>
    </row>
    <row r="1687" spans="1:9" x14ac:dyDescent="0.2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 s="1">
        <f t="shared" si="52"/>
        <v>2899.89</v>
      </c>
      <c r="H1687" s="1" t="str">
        <f>_xlfn.XLOOKUP(C1687,Product!A:A,Product!B:B,"not found",0)</f>
        <v>Trek Fuel EX 8 29 - 2016</v>
      </c>
      <c r="I1687" s="1">
        <f t="shared" si="53"/>
        <v>2899.89</v>
      </c>
    </row>
    <row r="1688" spans="1:9" x14ac:dyDescent="0.2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 s="1">
        <f t="shared" si="52"/>
        <v>3097.93</v>
      </c>
      <c r="H1688" s="1" t="str">
        <f>_xlfn.XLOOKUP(C1688,Product!A:A,Product!B:B,"not found",0)</f>
        <v>Surly Straggler - 2016</v>
      </c>
      <c r="I1688" s="1">
        <f t="shared" si="53"/>
        <v>3097.93</v>
      </c>
    </row>
    <row r="1689" spans="1:9" x14ac:dyDescent="0.2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 s="1">
        <f t="shared" si="52"/>
        <v>5999.78</v>
      </c>
      <c r="H1689" s="1" t="str">
        <f>_xlfn.XLOOKUP(C1689,Product!A:A,Product!B:B,"not found",0)</f>
        <v>Trek Conduit+ - 2016</v>
      </c>
      <c r="I1689" s="1">
        <f t="shared" si="53"/>
        <v>5999.78</v>
      </c>
    </row>
    <row r="1690" spans="1:9" x14ac:dyDescent="0.2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 s="1">
        <f t="shared" si="52"/>
        <v>448.93</v>
      </c>
      <c r="H1690" s="1" t="str">
        <f>_xlfn.XLOOKUP(C1690,Product!A:A,Product!B:B,"not found",0)</f>
        <v>Pure Cycles William 3-Speed - 2016</v>
      </c>
      <c r="I1690" s="1">
        <f t="shared" si="53"/>
        <v>448.93</v>
      </c>
    </row>
    <row r="1691" spans="1:9" x14ac:dyDescent="0.2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 s="1">
        <f t="shared" si="52"/>
        <v>999.93000000000006</v>
      </c>
      <c r="H1691" s="1" t="str">
        <f>_xlfn.XLOOKUP(C1691,Product!A:A,Product!B:B,"not found",0)</f>
        <v>Electra Townie Original 7D - 2015/2016</v>
      </c>
      <c r="I1691" s="1">
        <f t="shared" si="53"/>
        <v>999.93000000000006</v>
      </c>
    </row>
    <row r="1692" spans="1:9" x14ac:dyDescent="0.2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 s="1">
        <f t="shared" si="52"/>
        <v>539.78</v>
      </c>
      <c r="H1692" s="1" t="str">
        <f>_xlfn.XLOOKUP(C1692,Product!A:A,Product!B:B,"not found",0)</f>
        <v>Electra Cruiser 1 (24-Inch) - 2016</v>
      </c>
      <c r="I1692" s="1">
        <f t="shared" si="53"/>
        <v>539.78</v>
      </c>
    </row>
    <row r="1693" spans="1:9" x14ac:dyDescent="0.2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 s="1">
        <f t="shared" si="52"/>
        <v>1680.79</v>
      </c>
      <c r="H1693" s="1" t="str">
        <f>_xlfn.XLOOKUP(C1693,Product!A:A,Product!B:B,"not found",0)</f>
        <v>Surly Straggler 650b - 2016</v>
      </c>
      <c r="I1693" s="1">
        <f t="shared" si="53"/>
        <v>1680.79</v>
      </c>
    </row>
    <row r="1694" spans="1:9" x14ac:dyDescent="0.2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 s="1">
        <f t="shared" si="52"/>
        <v>939.78</v>
      </c>
      <c r="H1694" s="1" t="str">
        <f>_xlfn.XLOOKUP(C1694,Product!A:A,Product!B:B,"not found",0)</f>
        <v>Surly Ice Cream Truck Frameset - 2016</v>
      </c>
      <c r="I1694" s="1">
        <f t="shared" si="53"/>
        <v>939.78</v>
      </c>
    </row>
    <row r="1695" spans="1:9" x14ac:dyDescent="0.2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 s="1">
        <f t="shared" si="52"/>
        <v>897.95</v>
      </c>
      <c r="H1695" s="1" t="str">
        <f>_xlfn.XLOOKUP(C1695,Product!A:A,Product!B:B,"not found",0)</f>
        <v>Pure Cycles Western 3-Speed - Women's - 2015/2016</v>
      </c>
      <c r="I1695" s="1">
        <f t="shared" si="53"/>
        <v>897.95</v>
      </c>
    </row>
    <row r="1696" spans="1:9" x14ac:dyDescent="0.2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 s="1">
        <f t="shared" si="52"/>
        <v>3361.78</v>
      </c>
      <c r="H1696" s="1" t="str">
        <f>_xlfn.XLOOKUP(C1696,Product!A:A,Product!B:B,"not found",0)</f>
        <v>Surly Straggler 650b - 2016</v>
      </c>
      <c r="I1696" s="1">
        <f t="shared" si="53"/>
        <v>3361.78</v>
      </c>
    </row>
    <row r="1697" spans="1:9" x14ac:dyDescent="0.2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 s="1">
        <f t="shared" si="52"/>
        <v>1199.78</v>
      </c>
      <c r="H1697" s="1" t="str">
        <f>_xlfn.XLOOKUP(C1697,Product!A:A,Product!B:B,"not found",0)</f>
        <v>Electra Townie Original 7D EQ - 2016</v>
      </c>
      <c r="I1697" s="1">
        <f t="shared" si="53"/>
        <v>1199.78</v>
      </c>
    </row>
    <row r="1698" spans="1:9" x14ac:dyDescent="0.2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 s="1">
        <f t="shared" si="52"/>
        <v>269.92</v>
      </c>
      <c r="H1698" s="1" t="str">
        <f>_xlfn.XLOOKUP(C1698,Product!A:A,Product!B:B,"not found",0)</f>
        <v>Electra Girl's Hawaii 1 (16-inch) - 2015/2016</v>
      </c>
      <c r="I1698" s="1">
        <f t="shared" si="53"/>
        <v>269.92</v>
      </c>
    </row>
    <row r="1699" spans="1:9" x14ac:dyDescent="0.2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 s="1">
        <f t="shared" si="52"/>
        <v>5799.78</v>
      </c>
      <c r="H1699" s="1" t="str">
        <f>_xlfn.XLOOKUP(C1699,Product!A:A,Product!B:B,"not found",0)</f>
        <v>Trek Fuel EX 8 29 - 2016</v>
      </c>
      <c r="I1699" s="1">
        <f t="shared" si="53"/>
        <v>5799.78</v>
      </c>
    </row>
    <row r="1700" spans="1:9" x14ac:dyDescent="0.2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 s="1">
        <f t="shared" si="52"/>
        <v>7999.8799999999992</v>
      </c>
      <c r="H1700" s="1" t="str">
        <f>_xlfn.XLOOKUP(C1700,Product!A:A,Product!B:B,"not found",0)</f>
        <v>Trek Slash 8 27.5 - 2016</v>
      </c>
      <c r="I1700" s="1">
        <f t="shared" si="53"/>
        <v>7999.8799999999992</v>
      </c>
    </row>
    <row r="1701" spans="1:9" x14ac:dyDescent="0.2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 s="1">
        <f t="shared" si="52"/>
        <v>549.89</v>
      </c>
      <c r="H1701" s="1" t="str">
        <f>_xlfn.XLOOKUP(C1701,Product!A:A,Product!B:B,"not found",0)</f>
        <v>Electra Townie Original 21D - 2016</v>
      </c>
      <c r="I1701" s="1">
        <f t="shared" si="53"/>
        <v>549.89</v>
      </c>
    </row>
    <row r="1702" spans="1:9" x14ac:dyDescent="0.2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 s="1">
        <f t="shared" si="52"/>
        <v>1548.93</v>
      </c>
      <c r="H1702" s="1" t="str">
        <f>_xlfn.XLOOKUP(C1702,Product!A:A,Product!B:B,"not found",0)</f>
        <v>Surly Straggler - 2016</v>
      </c>
      <c r="I1702" s="1">
        <f t="shared" si="53"/>
        <v>1548.93</v>
      </c>
    </row>
    <row r="1703" spans="1:9" x14ac:dyDescent="0.2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 s="1">
        <f t="shared" si="52"/>
        <v>3999.89</v>
      </c>
      <c r="H1703" s="1" t="str">
        <f>_xlfn.XLOOKUP(C1703,Product!A:A,Product!B:B,"not found",0)</f>
        <v>Trek Slash 8 27.5 - 2016</v>
      </c>
      <c r="I1703" s="1">
        <f t="shared" si="53"/>
        <v>3999.89</v>
      </c>
    </row>
    <row r="1704" spans="1:9" x14ac:dyDescent="0.2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 s="1">
        <f t="shared" si="52"/>
        <v>539.88</v>
      </c>
      <c r="H1704" s="1" t="str">
        <f>_xlfn.XLOOKUP(C1704,Product!A:A,Product!B:B,"not found",0)</f>
        <v>Electra Girl's Hawaii 1 (16-inch) - 2015/2016</v>
      </c>
      <c r="I1704" s="1">
        <f t="shared" si="53"/>
        <v>539.88</v>
      </c>
    </row>
    <row r="1705" spans="1:9" x14ac:dyDescent="0.2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 s="1">
        <f t="shared" si="52"/>
        <v>1320.89</v>
      </c>
      <c r="H1705" s="1" t="str">
        <f>_xlfn.XLOOKUP(C1705,Product!A:A,Product!B:B,"not found",0)</f>
        <v>Heller Shagamaw Frame - 2016</v>
      </c>
      <c r="I1705" s="1">
        <f t="shared" si="53"/>
        <v>1320.89</v>
      </c>
    </row>
    <row r="1706" spans="1:9" x14ac:dyDescent="0.2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 s="1">
        <f t="shared" si="52"/>
        <v>599.89</v>
      </c>
      <c r="H1706" s="1" t="str">
        <f>_xlfn.XLOOKUP(C1706,Product!A:A,Product!B:B,"not found",0)</f>
        <v>Electra Townie Original 7D EQ - 2016</v>
      </c>
      <c r="I1706" s="1">
        <f t="shared" si="53"/>
        <v>599.89</v>
      </c>
    </row>
    <row r="1707" spans="1:9" x14ac:dyDescent="0.2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 s="1">
        <f t="shared" si="52"/>
        <v>549.91999999999996</v>
      </c>
      <c r="H1707" s="1" t="str">
        <f>_xlfn.XLOOKUP(C1707,Product!A:A,Product!B:B,"not found",0)</f>
        <v>Electra Townie Original 21D - 2016</v>
      </c>
      <c r="I1707" s="1">
        <f t="shared" si="53"/>
        <v>549.91999999999996</v>
      </c>
    </row>
    <row r="1708" spans="1:9" x14ac:dyDescent="0.2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 s="1">
        <f t="shared" si="52"/>
        <v>897.93</v>
      </c>
      <c r="H1708" s="1" t="str">
        <f>_xlfn.XLOOKUP(C1708,Product!A:A,Product!B:B,"not found",0)</f>
        <v>Pure Cycles Western 3-Speed - Women's - 2015/2016</v>
      </c>
      <c r="I1708" s="1">
        <f t="shared" si="53"/>
        <v>897.93</v>
      </c>
    </row>
    <row r="1709" spans="1:9" x14ac:dyDescent="0.2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 s="1">
        <f t="shared" si="52"/>
        <v>999.92</v>
      </c>
      <c r="H1709" s="1" t="str">
        <f>_xlfn.XLOOKUP(C1709,Product!A:A,Product!B:B,"not found",0)</f>
        <v>Surly Wednesday Frameset - 2016</v>
      </c>
      <c r="I1709" s="1">
        <f t="shared" si="53"/>
        <v>999.92</v>
      </c>
    </row>
    <row r="1710" spans="1:9" x14ac:dyDescent="0.2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 s="1">
        <f t="shared" si="52"/>
        <v>1799.89</v>
      </c>
      <c r="H1710" s="1" t="str">
        <f>_xlfn.XLOOKUP(C1710,Product!A:A,Product!B:B,"not found",0)</f>
        <v>Trek Remedy 29 Carbon Frameset - 2016</v>
      </c>
      <c r="I1710" s="1">
        <f t="shared" si="53"/>
        <v>1799.89</v>
      </c>
    </row>
    <row r="1711" spans="1:9" x14ac:dyDescent="0.2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 s="1">
        <f t="shared" si="52"/>
        <v>1199.9100000000001</v>
      </c>
      <c r="H1711" s="1" t="str">
        <f>_xlfn.XLOOKUP(C1711,Product!A:A,Product!B:B,"not found",0)</f>
        <v>Electra Townie Original 7D EQ - 2016</v>
      </c>
      <c r="I1711" s="1">
        <f t="shared" si="53"/>
        <v>1199.9100000000001</v>
      </c>
    </row>
    <row r="1712" spans="1:9" x14ac:dyDescent="0.2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 s="1">
        <f t="shared" si="52"/>
        <v>269.89</v>
      </c>
      <c r="H1712" s="1" t="str">
        <f>_xlfn.XLOOKUP(C1712,Product!A:A,Product!B:B,"not found",0)</f>
        <v>Electra Cruiser 1 (24-Inch) - 2016</v>
      </c>
      <c r="I1712" s="1">
        <f t="shared" si="53"/>
        <v>269.89</v>
      </c>
    </row>
    <row r="1713" spans="1:9" x14ac:dyDescent="0.2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 s="1">
        <f t="shared" si="52"/>
        <v>269.89</v>
      </c>
      <c r="H1713" s="1" t="str">
        <f>_xlfn.XLOOKUP(C1713,Product!A:A,Product!B:B,"not found",0)</f>
        <v>Electra Girl's Hawaii 1 (16-inch) - 2015/2016</v>
      </c>
      <c r="I1713" s="1">
        <f t="shared" si="53"/>
        <v>269.89</v>
      </c>
    </row>
    <row r="1714" spans="1:9" x14ac:dyDescent="0.2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 s="1">
        <f t="shared" si="52"/>
        <v>428.93</v>
      </c>
      <c r="H1714" s="1" t="str">
        <f>_xlfn.XLOOKUP(C1714,Product!A:A,Product!B:B,"not found",0)</f>
        <v>Pure Cycles Vine 8-Speed - 2016</v>
      </c>
      <c r="I1714" s="1">
        <f t="shared" si="53"/>
        <v>428.93</v>
      </c>
    </row>
    <row r="1715" spans="1:9" x14ac:dyDescent="0.2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 s="1">
        <f t="shared" si="52"/>
        <v>599.79</v>
      </c>
      <c r="H1715" s="1" t="str">
        <f>_xlfn.XLOOKUP(C1715,Product!A:A,Product!B:B,"not found",0)</f>
        <v>Electra Townie Original 7D EQ - Women's - 2016</v>
      </c>
      <c r="I1715" s="1">
        <f t="shared" si="53"/>
        <v>599.79</v>
      </c>
    </row>
    <row r="1716" spans="1:9" x14ac:dyDescent="0.2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 s="1">
        <f t="shared" si="52"/>
        <v>5999.8799999999992</v>
      </c>
      <c r="H1716" s="1" t="str">
        <f>_xlfn.XLOOKUP(C1716,Product!A:A,Product!B:B,"not found",0)</f>
        <v>Trek Conduit+ - 2016</v>
      </c>
      <c r="I1716" s="1">
        <f t="shared" si="53"/>
        <v>5999.8799999999992</v>
      </c>
    </row>
    <row r="1717" spans="1:9" x14ac:dyDescent="0.2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 s="1">
        <f t="shared" si="52"/>
        <v>897.95</v>
      </c>
      <c r="H1717" s="1" t="str">
        <f>_xlfn.XLOOKUP(C1717,Product!A:A,Product!B:B,"not found",0)</f>
        <v>Pure Cycles Western 3-Speed - Women's - 2015/2016</v>
      </c>
      <c r="I1717" s="1">
        <f t="shared" si="53"/>
        <v>897.95</v>
      </c>
    </row>
    <row r="1718" spans="1:9" x14ac:dyDescent="0.2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 s="1">
        <f t="shared" si="52"/>
        <v>549.91999999999996</v>
      </c>
      <c r="H1718" s="1" t="str">
        <f>_xlfn.XLOOKUP(C1718,Product!A:A,Product!B:B,"not found",0)</f>
        <v>Electra Townie Original 21D - 2016</v>
      </c>
      <c r="I1718" s="1">
        <f t="shared" si="53"/>
        <v>549.91999999999996</v>
      </c>
    </row>
    <row r="1719" spans="1:9" x14ac:dyDescent="0.2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 s="1">
        <f t="shared" si="52"/>
        <v>448.9</v>
      </c>
      <c r="H1719" s="1" t="str">
        <f>_xlfn.XLOOKUP(C1719,Product!A:A,Product!B:B,"not found",0)</f>
        <v>Pure Cycles Western 3-Speed - Women's - 2015/2016</v>
      </c>
      <c r="I1719" s="1">
        <f t="shared" si="53"/>
        <v>448.9</v>
      </c>
    </row>
    <row r="1720" spans="1:9" x14ac:dyDescent="0.2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 s="1">
        <f t="shared" si="52"/>
        <v>269.94</v>
      </c>
      <c r="H1720" s="1" t="str">
        <f>_xlfn.XLOOKUP(C1720,Product!A:A,Product!B:B,"not found",0)</f>
        <v>Electra Cruiser 1 (24-Inch) - 2016</v>
      </c>
      <c r="I1720" s="1">
        <f t="shared" si="53"/>
        <v>269.94</v>
      </c>
    </row>
    <row r="1721" spans="1:9" x14ac:dyDescent="0.2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 s="1">
        <f t="shared" si="52"/>
        <v>1680.92</v>
      </c>
      <c r="H1721" s="1" t="str">
        <f>_xlfn.XLOOKUP(C1721,Product!A:A,Product!B:B,"not found",0)</f>
        <v>Surly Straggler 650b - 2016</v>
      </c>
      <c r="I1721" s="1">
        <f t="shared" si="53"/>
        <v>1680.92</v>
      </c>
    </row>
    <row r="1722" spans="1:9" x14ac:dyDescent="0.2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 s="1">
        <f t="shared" si="52"/>
        <v>299.94</v>
      </c>
      <c r="H1722" s="1" t="str">
        <f>_xlfn.XLOOKUP(C1722,Product!A:A,Product!B:B,"not found",0)</f>
        <v>Electra Girl's Hawaii 1 (20-inch) - 2015/2016</v>
      </c>
      <c r="I1722" s="1">
        <f t="shared" si="53"/>
        <v>299.94</v>
      </c>
    </row>
    <row r="1723" spans="1:9" x14ac:dyDescent="0.2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 s="1">
        <f t="shared" si="52"/>
        <v>939.88</v>
      </c>
      <c r="H1723" s="1" t="str">
        <f>_xlfn.XLOOKUP(C1723,Product!A:A,Product!B:B,"not found",0)</f>
        <v>Surly Ice Cream Truck Frameset - 2016</v>
      </c>
      <c r="I1723" s="1">
        <f t="shared" si="53"/>
        <v>939.88</v>
      </c>
    </row>
    <row r="1724" spans="1:9" x14ac:dyDescent="0.2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 s="1">
        <f t="shared" si="52"/>
        <v>897.9</v>
      </c>
      <c r="H1724" s="1" t="str">
        <f>_xlfn.XLOOKUP(C1724,Product!A:A,Product!B:B,"not found",0)</f>
        <v>Pure Cycles William 3-Speed - 2016</v>
      </c>
      <c r="I1724" s="1">
        <f t="shared" si="53"/>
        <v>897.9</v>
      </c>
    </row>
    <row r="1725" spans="1:9" x14ac:dyDescent="0.2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 s="1">
        <f t="shared" si="52"/>
        <v>549.79</v>
      </c>
      <c r="H1725" s="1" t="str">
        <f>_xlfn.XLOOKUP(C1725,Product!A:A,Product!B:B,"not found",0)</f>
        <v>Electra Townie Original 21D - 2016</v>
      </c>
      <c r="I1725" s="1">
        <f t="shared" si="53"/>
        <v>549.79</v>
      </c>
    </row>
    <row r="1726" spans="1:9" x14ac:dyDescent="0.2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 s="1">
        <f t="shared" si="52"/>
        <v>1199.78</v>
      </c>
      <c r="H1726" s="1" t="str">
        <f>_xlfn.XLOOKUP(C1726,Product!A:A,Product!B:B,"not found",0)</f>
        <v>Electra Townie Original 7D EQ - 2016</v>
      </c>
      <c r="I1726" s="1">
        <f t="shared" si="53"/>
        <v>1199.78</v>
      </c>
    </row>
    <row r="1727" spans="1:9" x14ac:dyDescent="0.2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 s="1">
        <f t="shared" si="52"/>
        <v>1059.78</v>
      </c>
      <c r="H1727" s="1" t="str">
        <f>_xlfn.XLOOKUP(C1727,Product!A:A,Product!B:B,"not found",0)</f>
        <v>Electra Moto 1 - 2016</v>
      </c>
      <c r="I1727" s="1">
        <f t="shared" si="53"/>
        <v>1059.78</v>
      </c>
    </row>
    <row r="1728" spans="1:9" x14ac:dyDescent="0.2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 s="1">
        <f t="shared" si="52"/>
        <v>3361.91</v>
      </c>
      <c r="H1728" s="1" t="str">
        <f>_xlfn.XLOOKUP(C1728,Product!A:A,Product!B:B,"not found",0)</f>
        <v>Surly Straggler 650b - 2016</v>
      </c>
      <c r="I1728" s="1">
        <f t="shared" si="53"/>
        <v>3361.91</v>
      </c>
    </row>
    <row r="1729" spans="1:9" x14ac:dyDescent="0.2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 s="1">
        <f t="shared" si="52"/>
        <v>857.9</v>
      </c>
      <c r="H1729" s="1" t="str">
        <f>_xlfn.XLOOKUP(C1729,Product!A:A,Product!B:B,"not found",0)</f>
        <v>Pure Cycles Vine 8-Speed - 2016</v>
      </c>
      <c r="I1729" s="1">
        <f t="shared" si="53"/>
        <v>857.9</v>
      </c>
    </row>
    <row r="1730" spans="1:9" x14ac:dyDescent="0.2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 s="1">
        <f t="shared" si="52"/>
        <v>1680.92</v>
      </c>
      <c r="H1730" s="1" t="str">
        <f>_xlfn.XLOOKUP(C1730,Product!A:A,Product!B:B,"not found",0)</f>
        <v>Surly Straggler 650b - 2016</v>
      </c>
      <c r="I1730" s="1">
        <f t="shared" si="53"/>
        <v>1680.92</v>
      </c>
    </row>
    <row r="1731" spans="1:9" x14ac:dyDescent="0.2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 s="1">
        <f t="shared" ref="G1731:G1794" si="54">(E1731*D1731)-F1731</f>
        <v>499.92</v>
      </c>
      <c r="H1731" s="1" t="str">
        <f>_xlfn.XLOOKUP(C1731,Product!A:A,Product!B:B,"not found",0)</f>
        <v>Electra Townie Original 7D - 2015/2016</v>
      </c>
      <c r="I1731" s="1">
        <f t="shared" ref="I1731:I1794" si="55">(D1731*E1731)-F1731</f>
        <v>499.92</v>
      </c>
    </row>
    <row r="1732" spans="1:9" x14ac:dyDescent="0.2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 s="1">
        <f t="shared" si="54"/>
        <v>2641.78</v>
      </c>
      <c r="H1732" s="1" t="str">
        <f>_xlfn.XLOOKUP(C1732,Product!A:A,Product!B:B,"not found",0)</f>
        <v>Heller Shagamaw Frame - 2016</v>
      </c>
      <c r="I1732" s="1">
        <f t="shared" si="55"/>
        <v>2641.78</v>
      </c>
    </row>
    <row r="1733" spans="1:9" x14ac:dyDescent="0.2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 s="1">
        <f t="shared" si="54"/>
        <v>857.93</v>
      </c>
      <c r="H1733" s="1" t="str">
        <f>_xlfn.XLOOKUP(C1733,Product!A:A,Product!B:B,"not found",0)</f>
        <v>Pure Cycles Vine 8-Speed - 2016</v>
      </c>
      <c r="I1733" s="1">
        <f t="shared" si="55"/>
        <v>857.93</v>
      </c>
    </row>
    <row r="1734" spans="1:9" x14ac:dyDescent="0.2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 s="1">
        <f t="shared" si="54"/>
        <v>5999.91</v>
      </c>
      <c r="H1734" s="1" t="str">
        <f>_xlfn.XLOOKUP(C1734,Product!A:A,Product!B:B,"not found",0)</f>
        <v>Trek Conduit+ - 2016</v>
      </c>
      <c r="I1734" s="1">
        <f t="shared" si="55"/>
        <v>5999.91</v>
      </c>
    </row>
    <row r="1735" spans="1:9" x14ac:dyDescent="0.2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 s="1">
        <f t="shared" si="54"/>
        <v>448.9</v>
      </c>
      <c r="H1735" s="1" t="str">
        <f>_xlfn.XLOOKUP(C1735,Product!A:A,Product!B:B,"not found",0)</f>
        <v>Pure Cycles Western 3-Speed - Women's - 2015/2016</v>
      </c>
      <c r="I1735" s="1">
        <f t="shared" si="55"/>
        <v>448.9</v>
      </c>
    </row>
    <row r="1736" spans="1:9" x14ac:dyDescent="0.2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 s="1">
        <f t="shared" si="54"/>
        <v>1548.8</v>
      </c>
      <c r="H1736" s="1" t="str">
        <f>_xlfn.XLOOKUP(C1736,Product!A:A,Product!B:B,"not found",0)</f>
        <v>Surly Straggler - 2016</v>
      </c>
      <c r="I1736" s="1">
        <f t="shared" si="55"/>
        <v>1548.8</v>
      </c>
    </row>
    <row r="1737" spans="1:9" x14ac:dyDescent="0.2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 s="1">
        <f t="shared" si="54"/>
        <v>499.92</v>
      </c>
      <c r="H1737" s="1" t="str">
        <f>_xlfn.XLOOKUP(C1737,Product!A:A,Product!B:B,"not found",0)</f>
        <v>Electra Townie Original 7D - 2015/2016</v>
      </c>
      <c r="I1737" s="1">
        <f t="shared" si="55"/>
        <v>499.92</v>
      </c>
    </row>
    <row r="1738" spans="1:9" x14ac:dyDescent="0.2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 s="1">
        <f t="shared" si="54"/>
        <v>1799.92</v>
      </c>
      <c r="H1738" s="1" t="str">
        <f>_xlfn.XLOOKUP(C1738,Product!A:A,Product!B:B,"not found",0)</f>
        <v>Trek Remedy 29 Carbon Frameset - 2016</v>
      </c>
      <c r="I1738" s="1">
        <f t="shared" si="55"/>
        <v>1799.92</v>
      </c>
    </row>
    <row r="1739" spans="1:9" x14ac:dyDescent="0.2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 s="1">
        <f t="shared" si="54"/>
        <v>539.93000000000006</v>
      </c>
      <c r="H1739" s="1" t="str">
        <f>_xlfn.XLOOKUP(C1739,Product!A:A,Product!B:B,"not found",0)</f>
        <v>Electra Cruiser 1 (24-Inch) - 2016</v>
      </c>
      <c r="I1739" s="1">
        <f t="shared" si="55"/>
        <v>539.93000000000006</v>
      </c>
    </row>
    <row r="1740" spans="1:9" x14ac:dyDescent="0.2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 s="1">
        <f t="shared" si="54"/>
        <v>599.91999999999996</v>
      </c>
      <c r="H1740" s="1" t="str">
        <f>_xlfn.XLOOKUP(C1740,Product!A:A,Product!B:B,"not found",0)</f>
        <v>Electra Townie Original 7D EQ - 2016</v>
      </c>
      <c r="I1740" s="1">
        <f t="shared" si="55"/>
        <v>599.91999999999996</v>
      </c>
    </row>
    <row r="1741" spans="1:9" x14ac:dyDescent="0.2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 s="1">
        <f t="shared" si="54"/>
        <v>269.92</v>
      </c>
      <c r="H1741" s="1" t="str">
        <f>_xlfn.XLOOKUP(C1741,Product!A:A,Product!B:B,"not found",0)</f>
        <v>Electra Girl's Hawaii 1 (16-inch) - 2015/2016</v>
      </c>
      <c r="I1741" s="1">
        <f t="shared" si="55"/>
        <v>269.92</v>
      </c>
    </row>
    <row r="1742" spans="1:9" x14ac:dyDescent="0.2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 s="1">
        <f t="shared" si="54"/>
        <v>539.78</v>
      </c>
      <c r="H1742" s="1" t="str">
        <f>_xlfn.XLOOKUP(C1742,Product!A:A,Product!B:B,"not found",0)</f>
        <v>Electra Girl's Hawaii 1 (16-inch) - 2015/2016</v>
      </c>
      <c r="I1742" s="1">
        <f t="shared" si="55"/>
        <v>539.78</v>
      </c>
    </row>
    <row r="1743" spans="1:9" x14ac:dyDescent="0.2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 s="1">
        <f t="shared" si="54"/>
        <v>428.93</v>
      </c>
      <c r="H1743" s="1" t="str">
        <f>_xlfn.XLOOKUP(C1743,Product!A:A,Product!B:B,"not found",0)</f>
        <v>Pure Cycles Vine 8-Speed - 2016</v>
      </c>
      <c r="I1743" s="1">
        <f t="shared" si="55"/>
        <v>428.93</v>
      </c>
    </row>
    <row r="1744" spans="1:9" x14ac:dyDescent="0.2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 s="1">
        <f t="shared" si="54"/>
        <v>3361.78</v>
      </c>
      <c r="H1744" s="1" t="str">
        <f>_xlfn.XLOOKUP(C1744,Product!A:A,Product!B:B,"not found",0)</f>
        <v>Surly Straggler 650b - 2016</v>
      </c>
      <c r="I1744" s="1">
        <f t="shared" si="55"/>
        <v>3361.78</v>
      </c>
    </row>
    <row r="1745" spans="1:9" x14ac:dyDescent="0.2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 s="1">
        <f t="shared" si="54"/>
        <v>599.91999999999996</v>
      </c>
      <c r="H1745" s="1" t="str">
        <f>_xlfn.XLOOKUP(C1745,Product!A:A,Product!B:B,"not found",0)</f>
        <v>Electra Townie Original 7D EQ - 2016</v>
      </c>
      <c r="I1745" s="1">
        <f t="shared" si="55"/>
        <v>599.91999999999996</v>
      </c>
    </row>
    <row r="1746" spans="1:9" x14ac:dyDescent="0.2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 s="1">
        <f t="shared" si="54"/>
        <v>599.88</v>
      </c>
      <c r="H1746" s="1" t="str">
        <f>_xlfn.XLOOKUP(C1746,Product!A:A,Product!B:B,"not found",0)</f>
        <v>Electra Girl's Hawaii 1 (20-inch) - 2015/2016</v>
      </c>
      <c r="I1746" s="1">
        <f t="shared" si="55"/>
        <v>599.88</v>
      </c>
    </row>
    <row r="1747" spans="1:9" x14ac:dyDescent="0.2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 s="1">
        <f t="shared" si="54"/>
        <v>529.79</v>
      </c>
      <c r="H1747" s="1" t="str">
        <f>_xlfn.XLOOKUP(C1747,Product!A:A,Product!B:B,"not found",0)</f>
        <v>Electra Moto 1 - 2016</v>
      </c>
      <c r="I1747" s="1">
        <f t="shared" si="55"/>
        <v>529.79</v>
      </c>
    </row>
    <row r="1748" spans="1:9" x14ac:dyDescent="0.2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 s="1">
        <f t="shared" si="54"/>
        <v>448.93</v>
      </c>
      <c r="H1748" s="1" t="str">
        <f>_xlfn.XLOOKUP(C1748,Product!A:A,Product!B:B,"not found",0)</f>
        <v>Pure Cycles William 3-Speed - 2016</v>
      </c>
      <c r="I1748" s="1">
        <f t="shared" si="55"/>
        <v>448.93</v>
      </c>
    </row>
    <row r="1749" spans="1:9" x14ac:dyDescent="0.2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 s="1">
        <f t="shared" si="54"/>
        <v>5999.78</v>
      </c>
      <c r="H1749" s="1" t="str">
        <f>_xlfn.XLOOKUP(C1749,Product!A:A,Product!B:B,"not found",0)</f>
        <v>Trek Conduit+ - 2016</v>
      </c>
      <c r="I1749" s="1">
        <f t="shared" si="55"/>
        <v>5999.78</v>
      </c>
    </row>
    <row r="1750" spans="1:9" x14ac:dyDescent="0.2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 s="1">
        <f t="shared" si="54"/>
        <v>599.91999999999996</v>
      </c>
      <c r="H1750" s="1" t="str">
        <f>_xlfn.XLOOKUP(C1750,Product!A:A,Product!B:B,"not found",0)</f>
        <v>Electra Townie Original 7D EQ - 2016</v>
      </c>
      <c r="I1750" s="1">
        <f t="shared" si="55"/>
        <v>599.91999999999996</v>
      </c>
    </row>
    <row r="1751" spans="1:9" x14ac:dyDescent="0.2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 s="1">
        <f t="shared" si="54"/>
        <v>1059.8800000000001</v>
      </c>
      <c r="H1751" s="1" t="str">
        <f>_xlfn.XLOOKUP(C1751,Product!A:A,Product!B:B,"not found",0)</f>
        <v>Electra Moto 1 - 2016</v>
      </c>
      <c r="I1751" s="1">
        <f t="shared" si="55"/>
        <v>1059.8800000000001</v>
      </c>
    </row>
    <row r="1752" spans="1:9" x14ac:dyDescent="0.2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 s="1">
        <f t="shared" si="54"/>
        <v>448.95</v>
      </c>
      <c r="H1752" s="1" t="str">
        <f>_xlfn.XLOOKUP(C1752,Product!A:A,Product!B:B,"not found",0)</f>
        <v>Pure Cycles William 3-Speed - 2016</v>
      </c>
      <c r="I1752" s="1">
        <f t="shared" si="55"/>
        <v>448.95</v>
      </c>
    </row>
    <row r="1753" spans="1:9" x14ac:dyDescent="0.2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 s="1">
        <f t="shared" si="54"/>
        <v>2641.93</v>
      </c>
      <c r="H1753" s="1" t="str">
        <f>_xlfn.XLOOKUP(C1753,Product!A:A,Product!B:B,"not found",0)</f>
        <v>Heller Shagamaw Frame - 2016</v>
      </c>
      <c r="I1753" s="1">
        <f t="shared" si="55"/>
        <v>2641.93</v>
      </c>
    </row>
    <row r="1754" spans="1:9" x14ac:dyDescent="0.2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 s="1">
        <f t="shared" si="54"/>
        <v>599.88</v>
      </c>
      <c r="H1754" s="1" t="str">
        <f>_xlfn.XLOOKUP(C1754,Product!A:A,Product!B:B,"not found",0)</f>
        <v>Electra Girl's Hawaii 1 (20-inch) - 2015/2016</v>
      </c>
      <c r="I1754" s="1">
        <f t="shared" si="55"/>
        <v>599.88</v>
      </c>
    </row>
    <row r="1755" spans="1:9" x14ac:dyDescent="0.2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 s="1">
        <f t="shared" si="54"/>
        <v>539.93000000000006</v>
      </c>
      <c r="H1755" s="1" t="str">
        <f>_xlfn.XLOOKUP(C1755,Product!A:A,Product!B:B,"not found",0)</f>
        <v>Electra Girl's Hawaii 1 (16-inch) - 2015/2016</v>
      </c>
      <c r="I1755" s="1">
        <f t="shared" si="55"/>
        <v>539.93000000000006</v>
      </c>
    </row>
    <row r="1756" spans="1:9" x14ac:dyDescent="0.2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 s="1">
        <f t="shared" si="54"/>
        <v>939.88</v>
      </c>
      <c r="H1756" s="1" t="str">
        <f>_xlfn.XLOOKUP(C1756,Product!A:A,Product!B:B,"not found",0)</f>
        <v>Surly Ice Cream Truck Frameset - 2016</v>
      </c>
      <c r="I1756" s="1">
        <f t="shared" si="55"/>
        <v>939.88</v>
      </c>
    </row>
    <row r="1757" spans="1:9" x14ac:dyDescent="0.2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 s="1">
        <f t="shared" si="54"/>
        <v>1320.94</v>
      </c>
      <c r="H1757" s="1" t="str">
        <f>_xlfn.XLOOKUP(C1757,Product!A:A,Product!B:B,"not found",0)</f>
        <v>Heller Shagamaw Frame - 2016</v>
      </c>
      <c r="I1757" s="1">
        <f t="shared" si="55"/>
        <v>1320.94</v>
      </c>
    </row>
    <row r="1758" spans="1:9" x14ac:dyDescent="0.2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 s="1">
        <f t="shared" si="54"/>
        <v>499.89</v>
      </c>
      <c r="H1758" s="1" t="str">
        <f>_xlfn.XLOOKUP(C1758,Product!A:A,Product!B:B,"not found",0)</f>
        <v>Electra Townie Original 7D - 2015/2016</v>
      </c>
      <c r="I1758" s="1">
        <f t="shared" si="55"/>
        <v>499.89</v>
      </c>
    </row>
    <row r="1759" spans="1:9" x14ac:dyDescent="0.2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 s="1">
        <f t="shared" si="54"/>
        <v>897.9</v>
      </c>
      <c r="H1759" s="1" t="str">
        <f>_xlfn.XLOOKUP(C1759,Product!A:A,Product!B:B,"not found",0)</f>
        <v>Pure Cycles Western 3-Speed - Women's - 2015/2016</v>
      </c>
      <c r="I1759" s="1">
        <f t="shared" si="55"/>
        <v>897.9</v>
      </c>
    </row>
    <row r="1760" spans="1:9" x14ac:dyDescent="0.2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 s="1">
        <f t="shared" si="54"/>
        <v>539.91</v>
      </c>
      <c r="H1760" s="1" t="str">
        <f>_xlfn.XLOOKUP(C1760,Product!A:A,Product!B:B,"not found",0)</f>
        <v>Electra Cruiser 1 (24-Inch) - 2016</v>
      </c>
      <c r="I1760" s="1">
        <f t="shared" si="55"/>
        <v>539.91</v>
      </c>
    </row>
    <row r="1761" spans="1:9" x14ac:dyDescent="0.2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 s="1">
        <f t="shared" si="54"/>
        <v>1099.9100000000001</v>
      </c>
      <c r="H1761" s="1" t="str">
        <f>_xlfn.XLOOKUP(C1761,Product!A:A,Product!B:B,"not found",0)</f>
        <v>Electra Townie Original 21D - 2016</v>
      </c>
      <c r="I1761" s="1">
        <f t="shared" si="55"/>
        <v>1099.9100000000001</v>
      </c>
    </row>
    <row r="1762" spans="1:9" x14ac:dyDescent="0.2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 s="1">
        <f t="shared" si="54"/>
        <v>1059.9100000000001</v>
      </c>
      <c r="H1762" s="1" t="str">
        <f>_xlfn.XLOOKUP(C1762,Product!A:A,Product!B:B,"not found",0)</f>
        <v>Electra Moto 1 - 2016</v>
      </c>
      <c r="I1762" s="1">
        <f t="shared" si="55"/>
        <v>1059.9100000000001</v>
      </c>
    </row>
    <row r="1763" spans="1:9" x14ac:dyDescent="0.2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 s="1">
        <f t="shared" si="54"/>
        <v>499.79</v>
      </c>
      <c r="H1763" s="1" t="str">
        <f>_xlfn.XLOOKUP(C1763,Product!A:A,Product!B:B,"not found",0)</f>
        <v>Electra Townie Original 7D - 2015/2016</v>
      </c>
      <c r="I1763" s="1">
        <f t="shared" si="55"/>
        <v>499.79</v>
      </c>
    </row>
    <row r="1764" spans="1:9" x14ac:dyDescent="0.2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 s="1">
        <f t="shared" si="54"/>
        <v>3361.88</v>
      </c>
      <c r="H1764" s="1" t="str">
        <f>_xlfn.XLOOKUP(C1764,Product!A:A,Product!B:B,"not found",0)</f>
        <v>Surly Straggler 650b - 2016</v>
      </c>
      <c r="I1764" s="1">
        <f t="shared" si="55"/>
        <v>3361.88</v>
      </c>
    </row>
    <row r="1765" spans="1:9" x14ac:dyDescent="0.2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 s="1">
        <f t="shared" si="54"/>
        <v>529.91999999999996</v>
      </c>
      <c r="H1765" s="1" t="str">
        <f>_xlfn.XLOOKUP(C1765,Product!A:A,Product!B:B,"not found",0)</f>
        <v>Electra Moto 1 - 2016</v>
      </c>
      <c r="I1765" s="1">
        <f t="shared" si="55"/>
        <v>529.91999999999996</v>
      </c>
    </row>
    <row r="1766" spans="1:9" x14ac:dyDescent="0.2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 s="1">
        <f t="shared" si="54"/>
        <v>469.94</v>
      </c>
      <c r="H1766" s="1" t="str">
        <f>_xlfn.XLOOKUP(C1766,Product!A:A,Product!B:B,"not found",0)</f>
        <v>Surly Ice Cream Truck Frameset - 2016</v>
      </c>
      <c r="I1766" s="1">
        <f t="shared" si="55"/>
        <v>469.94</v>
      </c>
    </row>
    <row r="1767" spans="1:9" x14ac:dyDescent="0.2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 s="1">
        <f t="shared" si="54"/>
        <v>539.88</v>
      </c>
      <c r="H1767" s="1" t="str">
        <f>_xlfn.XLOOKUP(C1767,Product!A:A,Product!B:B,"not found",0)</f>
        <v>Electra Girl's Hawaii 1 (16-inch) - 2015/2016</v>
      </c>
      <c r="I1767" s="1">
        <f t="shared" si="55"/>
        <v>539.88</v>
      </c>
    </row>
    <row r="1768" spans="1:9" x14ac:dyDescent="0.2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 s="1">
        <f t="shared" si="54"/>
        <v>1099.93</v>
      </c>
      <c r="H1768" s="1" t="str">
        <f>_xlfn.XLOOKUP(C1768,Product!A:A,Product!B:B,"not found",0)</f>
        <v>Electra Townie Original 21D - 2016</v>
      </c>
      <c r="I1768" s="1">
        <f t="shared" si="55"/>
        <v>1099.93</v>
      </c>
    </row>
    <row r="1769" spans="1:9" x14ac:dyDescent="0.2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 s="1">
        <f t="shared" si="54"/>
        <v>539.78</v>
      </c>
      <c r="H1769" s="1" t="str">
        <f>_xlfn.XLOOKUP(C1769,Product!A:A,Product!B:B,"not found",0)</f>
        <v>Electra Cruiser 1 (24-Inch) - 2016</v>
      </c>
      <c r="I1769" s="1">
        <f t="shared" si="55"/>
        <v>539.78</v>
      </c>
    </row>
    <row r="1770" spans="1:9" x14ac:dyDescent="0.2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 s="1">
        <f t="shared" si="54"/>
        <v>2641.78</v>
      </c>
      <c r="H1770" s="1" t="str">
        <f>_xlfn.XLOOKUP(C1770,Product!A:A,Product!B:B,"not found",0)</f>
        <v>Heller Shagamaw Frame - 2016</v>
      </c>
      <c r="I1770" s="1">
        <f t="shared" si="55"/>
        <v>2641.78</v>
      </c>
    </row>
    <row r="1771" spans="1:9" x14ac:dyDescent="0.2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 s="1">
        <f t="shared" si="54"/>
        <v>3097.8</v>
      </c>
      <c r="H1771" s="1" t="str">
        <f>_xlfn.XLOOKUP(C1771,Product!A:A,Product!B:B,"not found",0)</f>
        <v>Surly Straggler - 2016</v>
      </c>
      <c r="I1771" s="1">
        <f t="shared" si="55"/>
        <v>3097.8</v>
      </c>
    </row>
    <row r="1772" spans="1:9" x14ac:dyDescent="0.2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 s="1">
        <f t="shared" si="54"/>
        <v>5799.9299999999994</v>
      </c>
      <c r="H1772" s="1" t="str">
        <f>_xlfn.XLOOKUP(C1772,Product!A:A,Product!B:B,"not found",0)</f>
        <v>Trek Fuel EX 8 29 - 2016</v>
      </c>
      <c r="I1772" s="1">
        <f t="shared" si="55"/>
        <v>5799.9299999999994</v>
      </c>
    </row>
    <row r="1773" spans="1:9" x14ac:dyDescent="0.2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 s="1">
        <f t="shared" si="54"/>
        <v>549.89</v>
      </c>
      <c r="H1773" s="1" t="str">
        <f>_xlfn.XLOOKUP(C1773,Product!A:A,Product!B:B,"not found",0)</f>
        <v>Electra Townie Original 21D - 2016</v>
      </c>
      <c r="I1773" s="1">
        <f t="shared" si="55"/>
        <v>549.89</v>
      </c>
    </row>
    <row r="1774" spans="1:9" x14ac:dyDescent="0.2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 s="1">
        <f t="shared" si="54"/>
        <v>2899.9399999999996</v>
      </c>
      <c r="H1774" s="1" t="str">
        <f>_xlfn.XLOOKUP(C1774,Product!A:A,Product!B:B,"not found",0)</f>
        <v>Trek Fuel EX 8 29 - 2016</v>
      </c>
      <c r="I1774" s="1">
        <f t="shared" si="55"/>
        <v>2899.9399999999996</v>
      </c>
    </row>
    <row r="1775" spans="1:9" x14ac:dyDescent="0.2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 s="1">
        <f t="shared" si="54"/>
        <v>659.78</v>
      </c>
      <c r="H1775" s="1" t="str">
        <f>_xlfn.XLOOKUP(C1775,Product!A:A,Product!B:B,"not found",0)</f>
        <v>Haro Downtown 16 - 2017</v>
      </c>
      <c r="I1775" s="1">
        <f t="shared" si="55"/>
        <v>659.78</v>
      </c>
    </row>
    <row r="1776" spans="1:9" x14ac:dyDescent="0.2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 s="1">
        <f t="shared" si="54"/>
        <v>2999.89</v>
      </c>
      <c r="H1776" s="1" t="str">
        <f>_xlfn.XLOOKUP(C1776,Product!A:A,Product!B:B,"not found",0)</f>
        <v>Trek Conduit+ - 2016</v>
      </c>
      <c r="I1776" s="1">
        <f t="shared" si="55"/>
        <v>2999.89</v>
      </c>
    </row>
    <row r="1777" spans="1:9" x14ac:dyDescent="0.2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 s="1">
        <f t="shared" si="54"/>
        <v>899.88</v>
      </c>
      <c r="H1777" s="1" t="str">
        <f>_xlfn.XLOOKUP(C1777,Product!A:A,Product!B:B,"not found",0)</f>
        <v>Sun Bicycles Cruz 3 - 2017</v>
      </c>
      <c r="I1777" s="1">
        <f t="shared" si="55"/>
        <v>899.88</v>
      </c>
    </row>
    <row r="1778" spans="1:9" x14ac:dyDescent="0.2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 s="1">
        <f t="shared" si="54"/>
        <v>551.94000000000005</v>
      </c>
      <c r="H1778" s="1" t="str">
        <f>_xlfn.XLOOKUP(C1778,Product!A:A,Product!B:B,"not found",0)</f>
        <v>Sun Bicycles Streamway 3 - 2017</v>
      </c>
      <c r="I1778" s="1">
        <f t="shared" si="55"/>
        <v>551.94000000000005</v>
      </c>
    </row>
    <row r="1779" spans="1:9" x14ac:dyDescent="0.2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 s="1">
        <f t="shared" si="54"/>
        <v>5499.79</v>
      </c>
      <c r="H1779" s="1" t="str">
        <f>_xlfn.XLOOKUP(C1779,Product!A:A,Product!B:B,"not found",0)</f>
        <v>Trek Domane SLR 6 Disc - 2017</v>
      </c>
      <c r="I1779" s="1">
        <f t="shared" si="55"/>
        <v>5499.79</v>
      </c>
    </row>
    <row r="1780" spans="1:9" x14ac:dyDescent="0.2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 s="1">
        <f t="shared" si="54"/>
        <v>1499.93</v>
      </c>
      <c r="H1780" s="1" t="str">
        <f>_xlfn.XLOOKUP(C1780,Product!A:A,Product!B:B,"not found",0)</f>
        <v>Surly Ogre Frameset - 2017</v>
      </c>
      <c r="I1780" s="1">
        <f t="shared" si="55"/>
        <v>1499.93</v>
      </c>
    </row>
    <row r="1781" spans="1:9" x14ac:dyDescent="0.2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 s="1">
        <f t="shared" si="54"/>
        <v>529.91999999999996</v>
      </c>
      <c r="H1781" s="1" t="str">
        <f>_xlfn.XLOOKUP(C1781,Product!A:A,Product!B:B,"not found",0)</f>
        <v>Electra Moto 1 - 2016</v>
      </c>
      <c r="I1781" s="1">
        <f t="shared" si="55"/>
        <v>529.91999999999996</v>
      </c>
    </row>
    <row r="1782" spans="1:9" x14ac:dyDescent="0.2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 s="1">
        <f t="shared" si="54"/>
        <v>749.94</v>
      </c>
      <c r="H1782" s="1" t="str">
        <f>_xlfn.XLOOKUP(C1782,Product!A:A,Product!B:B,"not found",0)</f>
        <v>Sun Bicycles Brickell Tandem 7 - 2017</v>
      </c>
      <c r="I1782" s="1">
        <f t="shared" si="55"/>
        <v>749.94</v>
      </c>
    </row>
    <row r="1783" spans="1:9" x14ac:dyDescent="0.2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 s="1">
        <f t="shared" si="54"/>
        <v>619.94000000000005</v>
      </c>
      <c r="H1783" s="1" t="str">
        <f>_xlfn.XLOOKUP(C1783,Product!A:A,Product!B:B,"not found",0)</f>
        <v>Sun Bicycles Biscayne Tandem 7 - 2017</v>
      </c>
      <c r="I1783" s="1">
        <f t="shared" si="55"/>
        <v>619.94000000000005</v>
      </c>
    </row>
    <row r="1784" spans="1:9" x14ac:dyDescent="0.2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 s="1">
        <f t="shared" si="54"/>
        <v>9999.8799999999992</v>
      </c>
      <c r="H1784" s="1" t="str">
        <f>_xlfn.XLOOKUP(C1784,Product!A:A,Product!B:B,"not found",0)</f>
        <v>Trek Powerfly 8 FS Plus - 2017</v>
      </c>
      <c r="I1784" s="1">
        <f t="shared" si="55"/>
        <v>9999.8799999999992</v>
      </c>
    </row>
    <row r="1785" spans="1:9" x14ac:dyDescent="0.2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 s="1">
        <f t="shared" si="54"/>
        <v>899.93000000000006</v>
      </c>
      <c r="H1785" s="1" t="str">
        <f>_xlfn.XLOOKUP(C1785,Product!A:A,Product!B:B,"not found",0)</f>
        <v>Sun Bicycles Cruz 3 - 2017</v>
      </c>
      <c r="I1785" s="1">
        <f t="shared" si="55"/>
        <v>899.93000000000006</v>
      </c>
    </row>
    <row r="1786" spans="1:9" x14ac:dyDescent="0.2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 s="1">
        <f t="shared" si="54"/>
        <v>469.92</v>
      </c>
      <c r="H1786" s="1" t="str">
        <f>_xlfn.XLOOKUP(C1786,Product!A:A,Product!B:B,"not found",0)</f>
        <v>Trek Farley Alloy Frameset - 2017</v>
      </c>
      <c r="I1786" s="1">
        <f t="shared" si="55"/>
        <v>469.92</v>
      </c>
    </row>
    <row r="1787" spans="1:9" x14ac:dyDescent="0.2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 s="1">
        <f t="shared" si="54"/>
        <v>999.92</v>
      </c>
      <c r="H1787" s="1" t="str">
        <f>_xlfn.XLOOKUP(C1787,Product!A:A,Product!B:B,"not found",0)</f>
        <v>Surly Ice Cream Truck Frameset - 2017</v>
      </c>
      <c r="I1787" s="1">
        <f t="shared" si="55"/>
        <v>999.92</v>
      </c>
    </row>
    <row r="1788" spans="1:9" x14ac:dyDescent="0.2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 s="1">
        <f t="shared" si="54"/>
        <v>599.91</v>
      </c>
      <c r="H1788" s="1" t="str">
        <f>_xlfn.XLOOKUP(C1788,Product!A:A,Product!B:B,"not found",0)</f>
        <v>Electra Girl's Hawaii 1 16" - 2017</v>
      </c>
      <c r="I1788" s="1">
        <f t="shared" si="55"/>
        <v>599.91</v>
      </c>
    </row>
    <row r="1789" spans="1:9" x14ac:dyDescent="0.2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 s="1">
        <f t="shared" si="54"/>
        <v>833.78</v>
      </c>
      <c r="H1789" s="1" t="str">
        <f>_xlfn.XLOOKUP(C1789,Product!A:A,Product!B:B,"not found",0)</f>
        <v>Sun Bicycles Cruz 7 - Women's - 2017</v>
      </c>
      <c r="I1789" s="1">
        <f t="shared" si="55"/>
        <v>833.78</v>
      </c>
    </row>
    <row r="1790" spans="1:9" x14ac:dyDescent="0.2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 s="1">
        <f t="shared" si="54"/>
        <v>529.94000000000005</v>
      </c>
      <c r="H1790" s="1" t="str">
        <f>_xlfn.XLOOKUP(C1790,Product!A:A,Product!B:B,"not found",0)</f>
        <v>Electra Moto 1 - 2016</v>
      </c>
      <c r="I1790" s="1">
        <f t="shared" si="55"/>
        <v>529.94000000000005</v>
      </c>
    </row>
    <row r="1791" spans="1:9" x14ac:dyDescent="0.2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 s="1">
        <f t="shared" si="54"/>
        <v>3499.79</v>
      </c>
      <c r="H1791" s="1" t="str">
        <f>_xlfn.XLOOKUP(C1791,Product!A:A,Product!B:B,"not found",0)</f>
        <v>Trek Boone 7 - 2017</v>
      </c>
      <c r="I1791" s="1">
        <f t="shared" si="55"/>
        <v>3499.79</v>
      </c>
    </row>
    <row r="1792" spans="1:9" x14ac:dyDescent="0.2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 s="1">
        <f t="shared" si="54"/>
        <v>489.79</v>
      </c>
      <c r="H1792" s="1" t="str">
        <f>_xlfn.XLOOKUP(C1792,Product!A:A,Product!B:B,"not found",0)</f>
        <v>Electra Townie Original 7D - 2017</v>
      </c>
      <c r="I1792" s="1">
        <f t="shared" si="55"/>
        <v>489.79</v>
      </c>
    </row>
    <row r="1793" spans="1:9" x14ac:dyDescent="0.2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 s="1">
        <f t="shared" si="54"/>
        <v>899.91</v>
      </c>
      <c r="H1793" s="1" t="str">
        <f>_xlfn.XLOOKUP(C1793,Product!A:A,Product!B:B,"not found",0)</f>
        <v>Sun Bicycles Cruz 3 - 2017</v>
      </c>
      <c r="I1793" s="1">
        <f t="shared" si="55"/>
        <v>899.91</v>
      </c>
    </row>
    <row r="1794" spans="1:9" x14ac:dyDescent="0.2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 s="1">
        <f t="shared" si="54"/>
        <v>749.94</v>
      </c>
      <c r="H1794" s="1" t="str">
        <f>_xlfn.XLOOKUP(C1794,Product!A:A,Product!B:B,"not found",0)</f>
        <v>Surly Ogre Frameset - 2017</v>
      </c>
      <c r="I1794" s="1">
        <f t="shared" si="55"/>
        <v>749.94</v>
      </c>
    </row>
    <row r="1795" spans="1:9" x14ac:dyDescent="0.2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 s="1">
        <f t="shared" ref="G1795:G1858" si="56">(E1795*D1795)-F1795</f>
        <v>2999.9199999999996</v>
      </c>
      <c r="H1795" s="1" t="str">
        <f>_xlfn.XLOOKUP(C1795,Product!A:A,Product!B:B,"not found",0)</f>
        <v>Trek Conduit+ - 2016</v>
      </c>
      <c r="I1795" s="1">
        <f t="shared" ref="I1795:I1858" si="57">(D1795*E1795)-F1795</f>
        <v>2999.9199999999996</v>
      </c>
    </row>
    <row r="1796" spans="1:9" x14ac:dyDescent="0.2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 s="1">
        <f t="shared" si="56"/>
        <v>299.92</v>
      </c>
      <c r="H1796" s="1" t="str">
        <f>_xlfn.XLOOKUP(C1796,Product!A:A,Product!B:B,"not found",0)</f>
        <v>Electra Sugar Skulls 1 (20-inch) - Girl's - 2017</v>
      </c>
      <c r="I1796" s="1">
        <f t="shared" si="57"/>
        <v>299.92</v>
      </c>
    </row>
    <row r="1797" spans="1:9" x14ac:dyDescent="0.2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 s="1">
        <f t="shared" si="56"/>
        <v>4599.9299999999994</v>
      </c>
      <c r="H1797" s="1" t="str">
        <f>_xlfn.XLOOKUP(C1797,Product!A:A,Product!B:B,"not found",0)</f>
        <v>Trek Fuel EX 5 27.5 Plus - 2017</v>
      </c>
      <c r="I1797" s="1">
        <f t="shared" si="57"/>
        <v>4599.9299999999994</v>
      </c>
    </row>
    <row r="1798" spans="1:9" x14ac:dyDescent="0.2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 s="1">
        <f t="shared" si="56"/>
        <v>469.94</v>
      </c>
      <c r="H1798" s="1" t="str">
        <f>_xlfn.XLOOKUP(C1798,Product!A:A,Product!B:B,"not found",0)</f>
        <v>Surly Ice Cream Truck Frameset - 2016</v>
      </c>
      <c r="I1798" s="1">
        <f t="shared" si="57"/>
        <v>469.94</v>
      </c>
    </row>
    <row r="1799" spans="1:9" x14ac:dyDescent="0.2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 s="1">
        <f t="shared" si="56"/>
        <v>10599.91</v>
      </c>
      <c r="H1799" s="1" t="str">
        <f>_xlfn.XLOOKUP(C1799,Product!A:A,Product!B:B,"not found",0)</f>
        <v>Trek Remedy 9.8 - 2017</v>
      </c>
      <c r="I1799" s="1">
        <f t="shared" si="57"/>
        <v>10599.91</v>
      </c>
    </row>
    <row r="1800" spans="1:9" x14ac:dyDescent="0.2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 s="1">
        <f t="shared" si="56"/>
        <v>539.91</v>
      </c>
      <c r="H1800" s="1" t="str">
        <f>_xlfn.XLOOKUP(C1800,Product!A:A,Product!B:B,"not found",0)</f>
        <v>Electra Cruiser 1 (24-Inch) - 2016</v>
      </c>
      <c r="I1800" s="1">
        <f t="shared" si="57"/>
        <v>539.91</v>
      </c>
    </row>
    <row r="1801" spans="1:9" x14ac:dyDescent="0.2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 s="1">
        <f t="shared" si="56"/>
        <v>1059.78</v>
      </c>
      <c r="H1801" s="1" t="str">
        <f>_xlfn.XLOOKUP(C1801,Product!A:A,Product!B:B,"not found",0)</f>
        <v>Electra Moto 1 - 2016</v>
      </c>
      <c r="I1801" s="1">
        <f t="shared" si="57"/>
        <v>1059.78</v>
      </c>
    </row>
    <row r="1802" spans="1:9" x14ac:dyDescent="0.2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 s="1">
        <f t="shared" si="56"/>
        <v>2899.9199999999996</v>
      </c>
      <c r="H1802" s="1" t="str">
        <f>_xlfn.XLOOKUP(C1802,Product!A:A,Product!B:B,"not found",0)</f>
        <v>Trek Fuel EX 8 29 - 2016</v>
      </c>
      <c r="I1802" s="1">
        <f t="shared" si="57"/>
        <v>2899.9199999999996</v>
      </c>
    </row>
    <row r="1803" spans="1:9" x14ac:dyDescent="0.2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 s="1">
        <f t="shared" si="56"/>
        <v>299.94</v>
      </c>
      <c r="H1803" s="1" t="str">
        <f>_xlfn.XLOOKUP(C1803,Product!A:A,Product!B:B,"not found",0)</f>
        <v>Electra Girl's Hawaii 1 16" - 2017</v>
      </c>
      <c r="I1803" s="1">
        <f t="shared" si="57"/>
        <v>299.94</v>
      </c>
    </row>
    <row r="1804" spans="1:9" x14ac:dyDescent="0.2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 s="1">
        <f t="shared" si="56"/>
        <v>549.79</v>
      </c>
      <c r="H1804" s="1" t="str">
        <f>_xlfn.XLOOKUP(C1804,Product!A:A,Product!B:B,"not found",0)</f>
        <v>Electra Townie Original 21D - 2016</v>
      </c>
      <c r="I1804" s="1">
        <f t="shared" si="57"/>
        <v>549.79</v>
      </c>
    </row>
    <row r="1805" spans="1:9" x14ac:dyDescent="0.2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 s="1">
        <f t="shared" si="56"/>
        <v>999.91</v>
      </c>
      <c r="H1805" s="1" t="str">
        <f>_xlfn.XLOOKUP(C1805,Product!A:A,Product!B:B,"not found",0)</f>
        <v>Electra Townie Original 7D - 2015/2016</v>
      </c>
      <c r="I1805" s="1">
        <f t="shared" si="57"/>
        <v>999.91</v>
      </c>
    </row>
    <row r="1806" spans="1:9" x14ac:dyDescent="0.2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 s="1">
        <f t="shared" si="56"/>
        <v>269.89</v>
      </c>
      <c r="H1806" s="1" t="str">
        <f>_xlfn.XLOOKUP(C1806,Product!A:A,Product!B:B,"not found",0)</f>
        <v>Electra Cruiser 1 (24-Inch) - 2016</v>
      </c>
      <c r="I1806" s="1">
        <f t="shared" si="57"/>
        <v>269.89</v>
      </c>
    </row>
    <row r="1807" spans="1:9" x14ac:dyDescent="0.2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 s="1">
        <f t="shared" si="56"/>
        <v>549.91999999999996</v>
      </c>
      <c r="H1807" s="1" t="str">
        <f>_xlfn.XLOOKUP(C1807,Product!A:A,Product!B:B,"not found",0)</f>
        <v>Electra Townie Original 21D - 2016</v>
      </c>
      <c r="I1807" s="1">
        <f t="shared" si="57"/>
        <v>549.91999999999996</v>
      </c>
    </row>
    <row r="1808" spans="1:9" x14ac:dyDescent="0.2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 s="1">
        <f t="shared" si="56"/>
        <v>699.88</v>
      </c>
      <c r="H1808" s="1" t="str">
        <f>_xlfn.XLOOKUP(C1808,Product!A:A,Product!B:B,"not found",0)</f>
        <v>Electra Savannah 3i (20-inch) - Girl's - 2017</v>
      </c>
      <c r="I1808" s="1">
        <f t="shared" si="57"/>
        <v>699.88</v>
      </c>
    </row>
    <row r="1809" spans="1:9" x14ac:dyDescent="0.2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 s="1">
        <f t="shared" si="56"/>
        <v>209.92000000000002</v>
      </c>
      <c r="H1809" s="1" t="str">
        <f>_xlfn.XLOOKUP(C1809,Product!A:A,Product!B:B,"not found",0)</f>
        <v>Trek Precaliber 16 Girls - 2017</v>
      </c>
      <c r="I1809" s="1">
        <f t="shared" si="57"/>
        <v>209.92000000000002</v>
      </c>
    </row>
    <row r="1810" spans="1:9" x14ac:dyDescent="0.2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 s="1">
        <f t="shared" si="56"/>
        <v>3361.88</v>
      </c>
      <c r="H1810" s="1" t="str">
        <f>_xlfn.XLOOKUP(C1810,Product!A:A,Product!B:B,"not found",0)</f>
        <v>Surly Straggler 650b - 2016</v>
      </c>
      <c r="I1810" s="1">
        <f t="shared" si="57"/>
        <v>3361.88</v>
      </c>
    </row>
    <row r="1811" spans="1:9" x14ac:dyDescent="0.2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 s="1">
        <f t="shared" si="56"/>
        <v>647.94000000000005</v>
      </c>
      <c r="H1811" s="1" t="str">
        <f>_xlfn.XLOOKUP(C1811,Product!A:A,Product!B:B,"not found",0)</f>
        <v>Sun Bicycles Biscayne Tandem CB - 2017</v>
      </c>
      <c r="I1811" s="1">
        <f t="shared" si="57"/>
        <v>647.94000000000005</v>
      </c>
    </row>
    <row r="1812" spans="1:9" x14ac:dyDescent="0.2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 s="1">
        <f t="shared" si="56"/>
        <v>999.79</v>
      </c>
      <c r="H1812" s="1" t="str">
        <f>_xlfn.XLOOKUP(C1812,Product!A:A,Product!B:B,"not found",0)</f>
        <v>Surly Wednesday Frameset - 2016</v>
      </c>
      <c r="I1812" s="1">
        <f t="shared" si="57"/>
        <v>999.79</v>
      </c>
    </row>
    <row r="1813" spans="1:9" x14ac:dyDescent="0.2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 s="1">
        <f t="shared" si="56"/>
        <v>402.89</v>
      </c>
      <c r="H1813" s="1" t="str">
        <f>_xlfn.XLOOKUP(C1813,Product!A:A,Product!B:B,"not found",0)</f>
        <v>Sun Bicycles Boardwalk (24-inch Wheels) - 2017</v>
      </c>
      <c r="I1813" s="1">
        <f t="shared" si="57"/>
        <v>402.89</v>
      </c>
    </row>
    <row r="1814" spans="1:9" x14ac:dyDescent="0.2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 s="1">
        <f t="shared" si="56"/>
        <v>329.94</v>
      </c>
      <c r="H1814" s="1" t="str">
        <f>_xlfn.XLOOKUP(C1814,Product!A:A,Product!B:B,"not found",0)</f>
        <v>Haro Downtown 16 - 2017</v>
      </c>
      <c r="I1814" s="1">
        <f t="shared" si="57"/>
        <v>329.94</v>
      </c>
    </row>
    <row r="1815" spans="1:9" x14ac:dyDescent="0.2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 s="1">
        <f t="shared" si="56"/>
        <v>979.93000000000006</v>
      </c>
      <c r="H1815" s="1" t="str">
        <f>_xlfn.XLOOKUP(C1815,Product!A:A,Product!B:B,"not found",0)</f>
        <v>Electra Townie Original 7D - 2017</v>
      </c>
      <c r="I1815" s="1">
        <f t="shared" si="57"/>
        <v>979.93000000000006</v>
      </c>
    </row>
    <row r="1816" spans="1:9" x14ac:dyDescent="0.2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 s="1">
        <f t="shared" si="56"/>
        <v>499.93</v>
      </c>
      <c r="H1816" s="1" t="str">
        <f>_xlfn.XLOOKUP(C1816,Product!A:A,Product!B:B,"not found",0)</f>
        <v>Haro Shredder Pro 20 - 2017</v>
      </c>
      <c r="I1816" s="1">
        <f t="shared" si="57"/>
        <v>499.93</v>
      </c>
    </row>
    <row r="1817" spans="1:9" x14ac:dyDescent="0.2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 s="1">
        <f t="shared" si="56"/>
        <v>489.89</v>
      </c>
      <c r="H1817" s="1" t="str">
        <f>_xlfn.XLOOKUP(C1817,Product!A:A,Product!B:B,"not found",0)</f>
        <v>Electra Townie Original 7D - 2017</v>
      </c>
      <c r="I1817" s="1">
        <f t="shared" si="57"/>
        <v>489.89</v>
      </c>
    </row>
    <row r="1818" spans="1:9" x14ac:dyDescent="0.2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 s="1">
        <f t="shared" si="56"/>
        <v>6999.78</v>
      </c>
      <c r="H1818" s="1" t="str">
        <f>_xlfn.XLOOKUP(C1818,Product!A:A,Product!B:B,"not found",0)</f>
        <v>Trek Boone 7 - 2017</v>
      </c>
      <c r="I1818" s="1">
        <f t="shared" si="57"/>
        <v>6999.78</v>
      </c>
    </row>
    <row r="1819" spans="1:9" x14ac:dyDescent="0.2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 s="1">
        <f t="shared" si="56"/>
        <v>501.78000000000003</v>
      </c>
      <c r="H1819" s="1" t="str">
        <f>_xlfn.XLOOKUP(C1819,Product!A:A,Product!B:B,"not found",0)</f>
        <v>Sun Bicycles Revolutions 24 - Girl's - 2017</v>
      </c>
      <c r="I1819" s="1">
        <f t="shared" si="57"/>
        <v>501.78000000000003</v>
      </c>
    </row>
    <row r="1820" spans="1:9" x14ac:dyDescent="0.2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 s="1">
        <f t="shared" si="56"/>
        <v>299.89</v>
      </c>
      <c r="H1820" s="1" t="str">
        <f>_xlfn.XLOOKUP(C1820,Product!A:A,Product!B:B,"not found",0)</f>
        <v>Electra Girl's Hawaii 1 (20-inch) - 2015/2016</v>
      </c>
      <c r="I1820" s="1">
        <f t="shared" si="57"/>
        <v>299.89</v>
      </c>
    </row>
    <row r="1821" spans="1:9" x14ac:dyDescent="0.2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 s="1">
        <f t="shared" si="56"/>
        <v>439.94</v>
      </c>
      <c r="H1821" s="1" t="str">
        <f>_xlfn.XLOOKUP(C1821,Product!A:A,Product!B:B,"not found",0)</f>
        <v>Electra Cruiser Lux 1 - 2017</v>
      </c>
      <c r="I1821" s="1">
        <f t="shared" si="57"/>
        <v>439.94</v>
      </c>
    </row>
    <row r="1822" spans="1:9" x14ac:dyDescent="0.2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 s="1">
        <f t="shared" si="56"/>
        <v>469.92</v>
      </c>
      <c r="H1822" s="1" t="str">
        <f>_xlfn.XLOOKUP(C1822,Product!A:A,Product!B:B,"not found",0)</f>
        <v>Surly Ice Cream Truck Frameset - 2016</v>
      </c>
      <c r="I1822" s="1">
        <f t="shared" si="57"/>
        <v>469.92</v>
      </c>
    </row>
    <row r="1823" spans="1:9" x14ac:dyDescent="0.2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 s="1">
        <f t="shared" si="56"/>
        <v>5299.8899999999994</v>
      </c>
      <c r="H1823" s="1" t="str">
        <f>_xlfn.XLOOKUP(C1823,Product!A:A,Product!B:B,"not found",0)</f>
        <v>Trek Fuel EX 9.8 27.5 Plus - 2017</v>
      </c>
      <c r="I1823" s="1">
        <f t="shared" si="57"/>
        <v>5299.8899999999994</v>
      </c>
    </row>
    <row r="1824" spans="1:9" x14ac:dyDescent="0.2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 s="1">
        <f t="shared" si="56"/>
        <v>1499.88</v>
      </c>
      <c r="H1824" s="1" t="str">
        <f>_xlfn.XLOOKUP(C1824,Product!A:A,Product!B:B,"not found",0)</f>
        <v>Ritchey Timberwolf Frameset - 2016</v>
      </c>
      <c r="I1824" s="1">
        <f t="shared" si="57"/>
        <v>1499.88</v>
      </c>
    </row>
    <row r="1825" spans="1:9" x14ac:dyDescent="0.2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 s="1">
        <f t="shared" si="56"/>
        <v>761.79</v>
      </c>
      <c r="H1825" s="1" t="str">
        <f>_xlfn.XLOOKUP(C1825,Product!A:A,Product!B:B,"not found",0)</f>
        <v>Sun Bicycles Brickell Tandem CB - 2017</v>
      </c>
      <c r="I1825" s="1">
        <f t="shared" si="57"/>
        <v>761.79</v>
      </c>
    </row>
    <row r="1826" spans="1:9" x14ac:dyDescent="0.2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 s="1">
        <f t="shared" si="56"/>
        <v>379.91</v>
      </c>
      <c r="H1826" s="1" t="str">
        <f>_xlfn.XLOOKUP(C1826,Product!A:A,Product!B:B,"not found",0)</f>
        <v>Trek Precaliber 12 Girls - 2017</v>
      </c>
      <c r="I1826" s="1">
        <f t="shared" si="57"/>
        <v>379.91</v>
      </c>
    </row>
    <row r="1827" spans="1:9" x14ac:dyDescent="0.2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 s="1">
        <f t="shared" si="56"/>
        <v>2999.89</v>
      </c>
      <c r="H1827" s="1" t="str">
        <f>_xlfn.XLOOKUP(C1827,Product!A:A,Product!B:B,"not found",0)</f>
        <v>Trek Conduit+ - 2016</v>
      </c>
      <c r="I1827" s="1">
        <f t="shared" si="57"/>
        <v>2999.89</v>
      </c>
    </row>
    <row r="1828" spans="1:9" x14ac:dyDescent="0.2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 s="1">
        <f t="shared" si="56"/>
        <v>299.89</v>
      </c>
      <c r="H1828" s="1" t="str">
        <f>_xlfn.XLOOKUP(C1828,Product!A:A,Product!B:B,"not found",0)</f>
        <v>Electra Girl's Hawaii 1 16" - 2017</v>
      </c>
      <c r="I1828" s="1">
        <f t="shared" si="57"/>
        <v>299.89</v>
      </c>
    </row>
    <row r="1829" spans="1:9" x14ac:dyDescent="0.2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 s="1">
        <f t="shared" si="56"/>
        <v>941.91</v>
      </c>
      <c r="H1829" s="1" t="str">
        <f>_xlfn.XLOOKUP(C1829,Product!A:A,Product!B:B,"not found",0)</f>
        <v>Sun Bicycles Drifter 7 - 2017</v>
      </c>
      <c r="I1829" s="1">
        <f t="shared" si="57"/>
        <v>941.91</v>
      </c>
    </row>
    <row r="1830" spans="1:9" x14ac:dyDescent="0.2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 s="1">
        <f t="shared" si="56"/>
        <v>699.91</v>
      </c>
      <c r="H1830" s="1" t="str">
        <f>_xlfn.XLOOKUP(C1830,Product!A:A,Product!B:B,"not found",0)</f>
        <v>Electra Savannah 3i (20-inch) - Girl's - 2017</v>
      </c>
      <c r="I1830" s="1">
        <f t="shared" si="57"/>
        <v>699.91</v>
      </c>
    </row>
    <row r="1831" spans="1:9" x14ac:dyDescent="0.2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 s="1">
        <f t="shared" si="56"/>
        <v>250.89000000000001</v>
      </c>
      <c r="H1831" s="1" t="str">
        <f>_xlfn.XLOOKUP(C1831,Product!A:A,Product!B:B,"not found",0)</f>
        <v>Sun Bicycles Revolutions 24 - Girl's - 2017</v>
      </c>
      <c r="I1831" s="1">
        <f t="shared" si="57"/>
        <v>250.89000000000001</v>
      </c>
    </row>
    <row r="1832" spans="1:9" x14ac:dyDescent="0.2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 s="1">
        <f t="shared" si="56"/>
        <v>149.89000000000001</v>
      </c>
      <c r="H1832" s="1" t="str">
        <f>_xlfn.XLOOKUP(C1832,Product!A:A,Product!B:B,"not found",0)</f>
        <v>Trek Boy's Kickster - 2015/2017</v>
      </c>
      <c r="I1832" s="1">
        <f t="shared" si="57"/>
        <v>149.89000000000001</v>
      </c>
    </row>
    <row r="1833" spans="1:9" x14ac:dyDescent="0.2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 s="1">
        <f t="shared" si="56"/>
        <v>269.92</v>
      </c>
      <c r="H1833" s="1" t="str">
        <f>_xlfn.XLOOKUP(C1833,Product!A:A,Product!B:B,"not found",0)</f>
        <v>Electra Girl's Hawaii 1 (16-inch) - 2015/2016</v>
      </c>
      <c r="I1833" s="1">
        <f t="shared" si="57"/>
        <v>269.92</v>
      </c>
    </row>
    <row r="1834" spans="1:9" x14ac:dyDescent="0.2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 s="1">
        <f t="shared" si="56"/>
        <v>939.93000000000006</v>
      </c>
      <c r="H1834" s="1" t="str">
        <f>_xlfn.XLOOKUP(C1834,Product!A:A,Product!B:B,"not found",0)</f>
        <v>Surly Wednesday Frameset - 2017</v>
      </c>
      <c r="I1834" s="1">
        <f t="shared" si="57"/>
        <v>939.93000000000006</v>
      </c>
    </row>
    <row r="1835" spans="1:9" x14ac:dyDescent="0.2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 s="1">
        <f t="shared" si="56"/>
        <v>875.94</v>
      </c>
      <c r="H1835" s="1" t="str">
        <f>_xlfn.XLOOKUP(C1835,Product!A:A,Product!B:B,"not found",0)</f>
        <v>Surly Steamroller - 2017</v>
      </c>
      <c r="I1835" s="1">
        <f t="shared" si="57"/>
        <v>875.94</v>
      </c>
    </row>
    <row r="1836" spans="1:9" x14ac:dyDescent="0.2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 s="1">
        <f t="shared" si="56"/>
        <v>6399.9299999999994</v>
      </c>
      <c r="H1836" s="1" t="str">
        <f>_xlfn.XLOOKUP(C1836,Product!A:A,Product!B:B,"not found",0)</f>
        <v>Trek Domane SL Disc Frameset - 2017</v>
      </c>
      <c r="I1836" s="1">
        <f t="shared" si="57"/>
        <v>6399.9299999999994</v>
      </c>
    </row>
    <row r="1837" spans="1:9" x14ac:dyDescent="0.2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 s="1">
        <f t="shared" si="56"/>
        <v>6999.78</v>
      </c>
      <c r="H1837" s="1" t="str">
        <f>_xlfn.XLOOKUP(C1837,Product!A:A,Product!B:B,"not found",0)</f>
        <v>Trek Domane SL 6 - 2017</v>
      </c>
      <c r="I1837" s="1">
        <f t="shared" si="57"/>
        <v>6999.78</v>
      </c>
    </row>
    <row r="1838" spans="1:9" x14ac:dyDescent="0.2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 s="1">
        <f t="shared" si="56"/>
        <v>999.94</v>
      </c>
      <c r="H1838" s="1" t="str">
        <f>_xlfn.XLOOKUP(C1838,Product!A:A,Product!B:B,"not found",0)</f>
        <v>Trek X-Caliber 8 - 2017</v>
      </c>
      <c r="I1838" s="1">
        <f t="shared" si="57"/>
        <v>999.94</v>
      </c>
    </row>
    <row r="1839" spans="1:9" x14ac:dyDescent="0.2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 s="1">
        <f t="shared" si="56"/>
        <v>2999.9399999999996</v>
      </c>
      <c r="H1839" s="1" t="str">
        <f>_xlfn.XLOOKUP(C1839,Product!A:A,Product!B:B,"not found",0)</f>
        <v>Trek Conduit+ - 2016</v>
      </c>
      <c r="I1839" s="1">
        <f t="shared" si="57"/>
        <v>2999.9399999999996</v>
      </c>
    </row>
    <row r="1840" spans="1:9" x14ac:dyDescent="0.2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 s="1">
        <f t="shared" si="56"/>
        <v>4599.9299999999994</v>
      </c>
      <c r="H1840" s="1" t="str">
        <f>_xlfn.XLOOKUP(C1840,Product!A:A,Product!B:B,"not found",0)</f>
        <v>Trek Fuel EX 5 27.5 Plus - 2017</v>
      </c>
      <c r="I1840" s="1">
        <f t="shared" si="57"/>
        <v>4599.9299999999994</v>
      </c>
    </row>
    <row r="1841" spans="1:9" x14ac:dyDescent="0.2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 s="1">
        <f t="shared" si="56"/>
        <v>2999.91</v>
      </c>
      <c r="H1841" s="1" t="str">
        <f>_xlfn.XLOOKUP(C1841,Product!A:A,Product!B:B,"not found",0)</f>
        <v>Trek Stache 5 - 2017</v>
      </c>
      <c r="I1841" s="1">
        <f t="shared" si="57"/>
        <v>2999.91</v>
      </c>
    </row>
    <row r="1842" spans="1:9" x14ac:dyDescent="0.2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 s="1">
        <f t="shared" si="56"/>
        <v>659.94</v>
      </c>
      <c r="H1842" s="1" t="str">
        <f>_xlfn.XLOOKUP(C1842,Product!A:A,Product!B:B,"not found",0)</f>
        <v>Electra Amsterdam Original 3i - 2015/2017</v>
      </c>
      <c r="I1842" s="1">
        <f t="shared" si="57"/>
        <v>659.94</v>
      </c>
    </row>
    <row r="1843" spans="1:9" x14ac:dyDescent="0.2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 s="1">
        <f t="shared" si="56"/>
        <v>9999.91</v>
      </c>
      <c r="H1843" s="1" t="str">
        <f>_xlfn.XLOOKUP(C1843,Product!A:A,Product!B:B,"not found",0)</f>
        <v>Trek Powerfly 8 FS Plus - 2017</v>
      </c>
      <c r="I1843" s="1">
        <f t="shared" si="57"/>
        <v>9999.91</v>
      </c>
    </row>
    <row r="1844" spans="1:9" x14ac:dyDescent="0.2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 s="1">
        <f t="shared" si="56"/>
        <v>999.79</v>
      </c>
      <c r="H1844" s="1" t="str">
        <f>_xlfn.XLOOKUP(C1844,Product!A:A,Product!B:B,"not found",0)</f>
        <v>Surly Ice Cream Truck Frameset - 2017</v>
      </c>
      <c r="I1844" s="1">
        <f t="shared" si="57"/>
        <v>999.79</v>
      </c>
    </row>
    <row r="1845" spans="1:9" x14ac:dyDescent="0.2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 s="1">
        <f t="shared" si="56"/>
        <v>5199.91</v>
      </c>
      <c r="H1845" s="1" t="str">
        <f>_xlfn.XLOOKUP(C1845,Product!A:A,Product!B:B,"not found",0)</f>
        <v>Trek Domane S 5 Disc - 2017</v>
      </c>
      <c r="I1845" s="1">
        <f t="shared" si="57"/>
        <v>5199.91</v>
      </c>
    </row>
    <row r="1846" spans="1:9" x14ac:dyDescent="0.2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 s="1">
        <f t="shared" si="56"/>
        <v>10599.93</v>
      </c>
      <c r="H1846" s="1" t="str">
        <f>_xlfn.XLOOKUP(C1846,Product!A:A,Product!B:B,"not found",0)</f>
        <v>Trek Remedy 9.8 - 2017</v>
      </c>
      <c r="I1846" s="1">
        <f t="shared" si="57"/>
        <v>10599.93</v>
      </c>
    </row>
    <row r="1847" spans="1:9" x14ac:dyDescent="0.2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 s="1">
        <f t="shared" si="56"/>
        <v>1999.78</v>
      </c>
      <c r="H1847" s="1" t="str">
        <f>_xlfn.XLOOKUP(C1847,Product!A:A,Product!B:B,"not found",0)</f>
        <v>Trek X-Caliber 8 - 2017</v>
      </c>
      <c r="I1847" s="1">
        <f t="shared" si="57"/>
        <v>1999.78</v>
      </c>
    </row>
    <row r="1848" spans="1:9" x14ac:dyDescent="0.2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 s="1">
        <f t="shared" si="56"/>
        <v>6999.91</v>
      </c>
      <c r="H1848" s="1" t="str">
        <f>_xlfn.XLOOKUP(C1848,Product!A:A,Product!B:B,"not found",0)</f>
        <v>Trek Boone Race Shop Limited - 2017</v>
      </c>
      <c r="I1848" s="1">
        <f t="shared" si="57"/>
        <v>6999.91</v>
      </c>
    </row>
    <row r="1849" spans="1:9" x14ac:dyDescent="0.2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 s="1">
        <f t="shared" si="56"/>
        <v>539.93000000000006</v>
      </c>
      <c r="H1849" s="1" t="str">
        <f>_xlfn.XLOOKUP(C1849,Product!A:A,Product!B:B,"not found",0)</f>
        <v>Electra Girl's Hawaii 1 (16-inch) - 2015/2016</v>
      </c>
      <c r="I1849" s="1">
        <f t="shared" si="57"/>
        <v>539.93000000000006</v>
      </c>
    </row>
    <row r="1850" spans="1:9" x14ac:dyDescent="0.2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 s="1">
        <f t="shared" si="56"/>
        <v>5399.8799999999992</v>
      </c>
      <c r="H1850" s="1" t="str">
        <f>_xlfn.XLOOKUP(C1850,Product!A:A,Product!B:B,"not found",0)</f>
        <v>Trek Domane S 6 - 2017</v>
      </c>
      <c r="I1850" s="1">
        <f t="shared" si="57"/>
        <v>5399.8799999999992</v>
      </c>
    </row>
    <row r="1851" spans="1:9" x14ac:dyDescent="0.2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 s="1">
        <f t="shared" si="56"/>
        <v>599.78</v>
      </c>
      <c r="H1851" s="1" t="str">
        <f>_xlfn.XLOOKUP(C1851,Product!A:A,Product!B:B,"not found",0)</f>
        <v>Electra Girl's Hawaii 1 16" - 2017</v>
      </c>
      <c r="I1851" s="1">
        <f t="shared" si="57"/>
        <v>599.78</v>
      </c>
    </row>
    <row r="1852" spans="1:9" x14ac:dyDescent="0.2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 s="1">
        <f t="shared" si="56"/>
        <v>979.91</v>
      </c>
      <c r="H1852" s="1" t="str">
        <f>_xlfn.XLOOKUP(C1852,Product!A:A,Product!B:B,"not found",0)</f>
        <v>Electra Townie Original 7D - 2017</v>
      </c>
      <c r="I1852" s="1">
        <f t="shared" si="57"/>
        <v>979.91</v>
      </c>
    </row>
    <row r="1853" spans="1:9" x14ac:dyDescent="0.2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 s="1">
        <f t="shared" si="56"/>
        <v>269.92</v>
      </c>
      <c r="H1853" s="1" t="str">
        <f>_xlfn.XLOOKUP(C1853,Product!A:A,Product!B:B,"not found",0)</f>
        <v>Electra Girl's Hawaii 1 (16-inch) - 2015/2016</v>
      </c>
      <c r="I1853" s="1">
        <f t="shared" si="57"/>
        <v>269.92</v>
      </c>
    </row>
    <row r="1854" spans="1:9" x14ac:dyDescent="0.2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 s="1">
        <f t="shared" si="56"/>
        <v>899.91</v>
      </c>
      <c r="H1854" s="1" t="str">
        <f>_xlfn.XLOOKUP(C1854,Product!A:A,Product!B:B,"not found",0)</f>
        <v>Sun Bicycles Cruz 3 - 2017</v>
      </c>
      <c r="I1854" s="1">
        <f t="shared" si="57"/>
        <v>899.91</v>
      </c>
    </row>
    <row r="1855" spans="1:9" x14ac:dyDescent="0.2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 s="1">
        <f t="shared" si="56"/>
        <v>2939.93</v>
      </c>
      <c r="H1855" s="1" t="str">
        <f>_xlfn.XLOOKUP(C1855,Product!A:A,Product!B:B,"not found",0)</f>
        <v>Haro Shift R3 - 2017</v>
      </c>
      <c r="I1855" s="1">
        <f t="shared" si="57"/>
        <v>2939.93</v>
      </c>
    </row>
    <row r="1856" spans="1:9" x14ac:dyDescent="0.2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 s="1">
        <f t="shared" si="56"/>
        <v>857.8</v>
      </c>
      <c r="H1856" s="1" t="str">
        <f>_xlfn.XLOOKUP(C1856,Product!A:A,Product!B:B,"not found",0)</f>
        <v>Pure Cycles Vine 8-Speed - 2016</v>
      </c>
      <c r="I1856" s="1">
        <f t="shared" si="57"/>
        <v>857.8</v>
      </c>
    </row>
    <row r="1857" spans="1:9" x14ac:dyDescent="0.2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 s="1">
        <f t="shared" si="56"/>
        <v>249.94</v>
      </c>
      <c r="H1857" s="1" t="str">
        <f>_xlfn.XLOOKUP(C1857,Product!A:A,Product!B:B,"not found",0)</f>
        <v>Haro Shredder Pro 20 - 2017</v>
      </c>
      <c r="I1857" s="1">
        <f t="shared" si="57"/>
        <v>249.94</v>
      </c>
    </row>
    <row r="1858" spans="1:9" x14ac:dyDescent="0.2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 s="1">
        <f t="shared" si="56"/>
        <v>416.92</v>
      </c>
      <c r="H1858" s="1" t="str">
        <f>_xlfn.XLOOKUP(C1858,Product!A:A,Product!B:B,"not found",0)</f>
        <v>Sun Bicycles Atlas X-Type - 2017</v>
      </c>
      <c r="I1858" s="1">
        <f t="shared" si="57"/>
        <v>416.92</v>
      </c>
    </row>
    <row r="1859" spans="1:9" x14ac:dyDescent="0.2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 s="1">
        <f t="shared" ref="G1859:G1922" si="58">(E1859*D1859)-F1859</f>
        <v>449.79</v>
      </c>
      <c r="H1859" s="1" t="str">
        <f>_xlfn.XLOOKUP(C1859,Product!A:A,Product!B:B,"not found",0)</f>
        <v>Sun Bicycles Cruz 3 - 2017</v>
      </c>
      <c r="I1859" s="1">
        <f t="shared" ref="I1859:I1922" si="59">(D1859*E1859)-F1859</f>
        <v>449.79</v>
      </c>
    </row>
    <row r="1860" spans="1:9" x14ac:dyDescent="0.2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 s="1">
        <f t="shared" si="58"/>
        <v>1751.91</v>
      </c>
      <c r="H1860" s="1" t="str">
        <f>_xlfn.XLOOKUP(C1860,Product!A:A,Product!B:B,"not found",0)</f>
        <v>Surly Steamroller - 2017</v>
      </c>
      <c r="I1860" s="1">
        <f t="shared" si="59"/>
        <v>1751.91</v>
      </c>
    </row>
    <row r="1861" spans="1:9" x14ac:dyDescent="0.2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 s="1">
        <f t="shared" si="58"/>
        <v>1320.92</v>
      </c>
      <c r="H1861" s="1" t="str">
        <f>_xlfn.XLOOKUP(C1861,Product!A:A,Product!B:B,"not found",0)</f>
        <v>Heller Shagamaw Frame - 2016</v>
      </c>
      <c r="I1861" s="1">
        <f t="shared" si="59"/>
        <v>1320.92</v>
      </c>
    </row>
    <row r="1862" spans="1:9" x14ac:dyDescent="0.2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 s="1">
        <f t="shared" si="58"/>
        <v>5999.79</v>
      </c>
      <c r="H1862" s="1" t="str">
        <f>_xlfn.XLOOKUP(C1862,Product!A:A,Product!B:B,"not found",0)</f>
        <v>Trek Silque SLR 7 Women's - 2017</v>
      </c>
      <c r="I1862" s="1">
        <f t="shared" si="59"/>
        <v>5999.79</v>
      </c>
    </row>
    <row r="1863" spans="1:9" x14ac:dyDescent="0.2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 s="1">
        <f t="shared" si="58"/>
        <v>679.78</v>
      </c>
      <c r="H1863" s="1" t="str">
        <f>_xlfn.XLOOKUP(C1863,Product!A:A,Product!B:B,"not found",0)</f>
        <v>Electra Townie 7D (20-inch) - Boys' - 2017</v>
      </c>
      <c r="I1863" s="1">
        <f t="shared" si="59"/>
        <v>679.78</v>
      </c>
    </row>
    <row r="1864" spans="1:9" x14ac:dyDescent="0.2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 s="1">
        <f t="shared" si="58"/>
        <v>5299.92</v>
      </c>
      <c r="H1864" s="1" t="str">
        <f>_xlfn.XLOOKUP(C1864,Product!A:A,Product!B:B,"not found",0)</f>
        <v>Trek Remedy 9.8 - 2017</v>
      </c>
      <c r="I1864" s="1">
        <f t="shared" si="59"/>
        <v>5299.92</v>
      </c>
    </row>
    <row r="1865" spans="1:9" x14ac:dyDescent="0.2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 s="1">
        <f t="shared" si="58"/>
        <v>4999.92</v>
      </c>
      <c r="H1865" s="1" t="str">
        <f>_xlfn.XLOOKUP(C1865,Product!A:A,Product!B:B,"not found",0)</f>
        <v>Trek Madone 9.2 - 2017</v>
      </c>
      <c r="I1865" s="1">
        <f t="shared" si="59"/>
        <v>4999.92</v>
      </c>
    </row>
    <row r="1866" spans="1:9" x14ac:dyDescent="0.2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 s="1">
        <f t="shared" si="58"/>
        <v>4599.78</v>
      </c>
      <c r="H1866" s="1" t="str">
        <f>_xlfn.XLOOKUP(C1866,Product!A:A,Product!B:B,"not found",0)</f>
        <v>Trek Fuel EX 5 27.5 Plus - 2017</v>
      </c>
      <c r="I1866" s="1">
        <f t="shared" si="59"/>
        <v>4599.78</v>
      </c>
    </row>
    <row r="1867" spans="1:9" x14ac:dyDescent="0.2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 s="1">
        <f t="shared" si="58"/>
        <v>999.93000000000006</v>
      </c>
      <c r="H1867" s="1" t="str">
        <f>_xlfn.XLOOKUP(C1867,Product!A:A,Product!B:B,"not found",0)</f>
        <v>Electra Townie Original 7D - 2015/2016</v>
      </c>
      <c r="I1867" s="1">
        <f t="shared" si="59"/>
        <v>999.93000000000006</v>
      </c>
    </row>
    <row r="1868" spans="1:9" x14ac:dyDescent="0.2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 s="1">
        <f t="shared" si="58"/>
        <v>979.78</v>
      </c>
      <c r="H1868" s="1" t="str">
        <f>_xlfn.XLOOKUP(C1868,Product!A:A,Product!B:B,"not found",0)</f>
        <v>Electra Straight 8 3i (20-inch) - Boy's - 2017</v>
      </c>
      <c r="I1868" s="1">
        <f t="shared" si="59"/>
        <v>979.78</v>
      </c>
    </row>
    <row r="1869" spans="1:9" x14ac:dyDescent="0.2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 s="1">
        <f t="shared" si="58"/>
        <v>1499.94</v>
      </c>
      <c r="H1869" s="1" t="str">
        <f>_xlfn.XLOOKUP(C1869,Product!A:A,Product!B:B,"not found",0)</f>
        <v>Trek Stache 5 - 2017</v>
      </c>
      <c r="I1869" s="1">
        <f t="shared" si="59"/>
        <v>1499.94</v>
      </c>
    </row>
    <row r="1870" spans="1:9" x14ac:dyDescent="0.2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 s="1">
        <f t="shared" si="58"/>
        <v>402.79</v>
      </c>
      <c r="H1870" s="1" t="str">
        <f>_xlfn.XLOOKUP(C1870,Product!A:A,Product!B:B,"not found",0)</f>
        <v>Sun Bicycles Boardwalk (24-inch Wheels) - 2017</v>
      </c>
      <c r="I1870" s="1">
        <f t="shared" si="59"/>
        <v>402.79</v>
      </c>
    </row>
    <row r="1871" spans="1:9" x14ac:dyDescent="0.2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 s="1">
        <f t="shared" si="58"/>
        <v>109.89</v>
      </c>
      <c r="H1871" s="1" t="str">
        <f>_xlfn.XLOOKUP(C1871,Product!A:A,Product!B:B,"not found",0)</f>
        <v>Sun Bicycles Lil Kitt'n - 2017</v>
      </c>
      <c r="I1871" s="1">
        <f t="shared" si="59"/>
        <v>109.89</v>
      </c>
    </row>
    <row r="1872" spans="1:9" x14ac:dyDescent="0.2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 s="1">
        <f t="shared" si="58"/>
        <v>999.79</v>
      </c>
      <c r="H1872" s="1" t="str">
        <f>_xlfn.XLOOKUP(C1872,Product!A:A,Product!B:B,"not found",0)</f>
        <v>Surly Wednesday Frameset - 2016</v>
      </c>
      <c r="I1872" s="1">
        <f t="shared" si="59"/>
        <v>999.79</v>
      </c>
    </row>
    <row r="1873" spans="1:9" x14ac:dyDescent="0.2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 s="1">
        <f t="shared" si="58"/>
        <v>299.89</v>
      </c>
      <c r="H1873" s="1" t="str">
        <f>_xlfn.XLOOKUP(C1873,Product!A:A,Product!B:B,"not found",0)</f>
        <v>Electra Sugar Skulls 1 (20-inch) - Girl's - 2017</v>
      </c>
      <c r="I1873" s="1">
        <f t="shared" si="59"/>
        <v>299.89</v>
      </c>
    </row>
    <row r="1874" spans="1:9" x14ac:dyDescent="0.2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 s="1">
        <f t="shared" si="58"/>
        <v>329.94</v>
      </c>
      <c r="H1874" s="1" t="str">
        <f>_xlfn.XLOOKUP(C1874,Product!A:A,Product!B:B,"not found",0)</f>
        <v>Haro Downtown 16 - 2017</v>
      </c>
      <c r="I1874" s="1">
        <f t="shared" si="59"/>
        <v>329.94</v>
      </c>
    </row>
    <row r="1875" spans="1:9" x14ac:dyDescent="0.2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 s="1">
        <f t="shared" si="58"/>
        <v>2999.93</v>
      </c>
      <c r="H1875" s="1" t="str">
        <f>_xlfn.XLOOKUP(C1875,Product!A:A,Product!B:B,"not found",0)</f>
        <v>Trek Emonda S 4 - 2017</v>
      </c>
      <c r="I1875" s="1">
        <f t="shared" si="59"/>
        <v>2999.93</v>
      </c>
    </row>
    <row r="1876" spans="1:9" x14ac:dyDescent="0.2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 s="1">
        <f t="shared" si="58"/>
        <v>897.9</v>
      </c>
      <c r="H1876" s="1" t="str">
        <f>_xlfn.XLOOKUP(C1876,Product!A:A,Product!B:B,"not found",0)</f>
        <v>Pure Cycles William 3-Speed - 2016</v>
      </c>
      <c r="I1876" s="1">
        <f t="shared" si="59"/>
        <v>897.9</v>
      </c>
    </row>
    <row r="1877" spans="1:9" x14ac:dyDescent="0.2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 s="1">
        <f t="shared" si="58"/>
        <v>1199.9100000000001</v>
      </c>
      <c r="H1877" s="1" t="str">
        <f>_xlfn.XLOOKUP(C1877,Product!A:A,Product!B:B,"not found",0)</f>
        <v>Electra Townie Original 7D EQ - 2016</v>
      </c>
      <c r="I1877" s="1">
        <f t="shared" si="59"/>
        <v>1199.9100000000001</v>
      </c>
    </row>
    <row r="1878" spans="1:9" x14ac:dyDescent="0.2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 s="1">
        <f t="shared" si="58"/>
        <v>619.91999999999996</v>
      </c>
      <c r="H1878" s="1" t="str">
        <f>_xlfn.XLOOKUP(C1878,Product!A:A,Product!B:B,"not found",0)</f>
        <v>Sun Bicycles Biscayne Tandem 7 - 2017</v>
      </c>
      <c r="I1878" s="1">
        <f t="shared" si="59"/>
        <v>619.91999999999996</v>
      </c>
    </row>
    <row r="1879" spans="1:9" x14ac:dyDescent="0.2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 s="1">
        <f t="shared" si="58"/>
        <v>449.89</v>
      </c>
      <c r="H1879" s="1" t="str">
        <f>_xlfn.XLOOKUP(C1879,Product!A:A,Product!B:B,"not found",0)</f>
        <v>Sun Bicycles Cruz 3 - Women's - 2017</v>
      </c>
      <c r="I1879" s="1">
        <f t="shared" si="59"/>
        <v>449.89</v>
      </c>
    </row>
    <row r="1880" spans="1:9" x14ac:dyDescent="0.2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 s="1">
        <f t="shared" si="58"/>
        <v>2499.9199999999996</v>
      </c>
      <c r="H1880" s="1" t="str">
        <f>_xlfn.XLOOKUP(C1880,Product!A:A,Product!B:B,"not found",0)</f>
        <v>Surly Karate Monkey 27.5+ Frameset - 2017</v>
      </c>
      <c r="I1880" s="1">
        <f t="shared" si="59"/>
        <v>2499.9199999999996</v>
      </c>
    </row>
    <row r="1881" spans="1:9" x14ac:dyDescent="0.2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 s="1">
        <f t="shared" si="58"/>
        <v>963.78</v>
      </c>
      <c r="H1881" s="1" t="str">
        <f>_xlfn.XLOOKUP(C1881,Product!A:A,Product!B:B,"not found",0)</f>
        <v>Sun Bicycles Streamway - 2017</v>
      </c>
      <c r="I1881" s="1">
        <f t="shared" si="59"/>
        <v>963.78</v>
      </c>
    </row>
    <row r="1882" spans="1:9" x14ac:dyDescent="0.2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 s="1">
        <f t="shared" si="58"/>
        <v>1739.93</v>
      </c>
      <c r="H1882" s="1" t="str">
        <f>_xlfn.XLOOKUP(C1882,Product!A:A,Product!B:B,"not found",0)</f>
        <v>Haro SR 1.2 - 2017</v>
      </c>
      <c r="I1882" s="1">
        <f t="shared" si="59"/>
        <v>1739.93</v>
      </c>
    </row>
    <row r="1883" spans="1:9" x14ac:dyDescent="0.2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 s="1">
        <f t="shared" si="58"/>
        <v>999.94</v>
      </c>
      <c r="H1883" s="1" t="str">
        <f>_xlfn.XLOOKUP(C1883,Product!A:A,Product!B:B,"not found",0)</f>
        <v>Surly Ice Cream Truck Frameset - 2017</v>
      </c>
      <c r="I1883" s="1">
        <f t="shared" si="59"/>
        <v>999.94</v>
      </c>
    </row>
    <row r="1884" spans="1:9" x14ac:dyDescent="0.2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 s="1">
        <f t="shared" si="58"/>
        <v>416.94</v>
      </c>
      <c r="H1884" s="1" t="str">
        <f>_xlfn.XLOOKUP(C1884,Product!A:A,Product!B:B,"not found",0)</f>
        <v>Sun Bicycles Cruz 7 - 2017</v>
      </c>
      <c r="I1884" s="1">
        <f t="shared" si="59"/>
        <v>416.94</v>
      </c>
    </row>
    <row r="1885" spans="1:9" x14ac:dyDescent="0.2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 s="1">
        <f t="shared" si="58"/>
        <v>2699.79</v>
      </c>
      <c r="H1885" s="1" t="str">
        <f>_xlfn.XLOOKUP(C1885,Product!A:A,Product!B:B,"not found",0)</f>
        <v>Trek Domane S 6 - 2017</v>
      </c>
      <c r="I1885" s="1">
        <f t="shared" si="59"/>
        <v>2699.79</v>
      </c>
    </row>
    <row r="1886" spans="1:9" x14ac:dyDescent="0.2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 s="1">
        <f t="shared" si="58"/>
        <v>2899.9199999999996</v>
      </c>
      <c r="H1886" s="1" t="str">
        <f>_xlfn.XLOOKUP(C1886,Product!A:A,Product!B:B,"not found",0)</f>
        <v>Trek Fuel EX 8 29 - 2016</v>
      </c>
      <c r="I1886" s="1">
        <f t="shared" si="59"/>
        <v>2899.9199999999996</v>
      </c>
    </row>
    <row r="1887" spans="1:9" x14ac:dyDescent="0.2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 s="1">
        <f t="shared" si="58"/>
        <v>833.91</v>
      </c>
      <c r="H1887" s="1" t="str">
        <f>_xlfn.XLOOKUP(C1887,Product!A:A,Product!B:B,"not found",0)</f>
        <v>Sun Bicycles Cruz 7 - Women's - 2017</v>
      </c>
      <c r="I1887" s="1">
        <f t="shared" si="59"/>
        <v>833.91</v>
      </c>
    </row>
    <row r="1888" spans="1:9" x14ac:dyDescent="0.2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 s="1">
        <f t="shared" si="58"/>
        <v>12999.91</v>
      </c>
      <c r="H1888" s="1" t="str">
        <f>_xlfn.XLOOKUP(C1888,Product!A:A,Product!B:B,"not found",0)</f>
        <v>Trek Silque SLR 8 Women's - 2017</v>
      </c>
      <c r="I1888" s="1">
        <f t="shared" si="59"/>
        <v>12999.91</v>
      </c>
    </row>
    <row r="1889" spans="1:9" x14ac:dyDescent="0.2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 s="1">
        <f t="shared" si="58"/>
        <v>699.78</v>
      </c>
      <c r="H1889" s="1" t="str">
        <f>_xlfn.XLOOKUP(C1889,Product!A:A,Product!B:B,"not found",0)</f>
        <v>Electra Moto 3i (20-inch) - Boy's - 2017</v>
      </c>
      <c r="I1889" s="1">
        <f t="shared" si="59"/>
        <v>699.78</v>
      </c>
    </row>
    <row r="1890" spans="1:9" x14ac:dyDescent="0.2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 s="1">
        <f t="shared" si="58"/>
        <v>2999.91</v>
      </c>
      <c r="H1890" s="1" t="str">
        <f>_xlfn.XLOOKUP(C1890,Product!A:A,Product!B:B,"not found",0)</f>
        <v>Trek Emonda S 4 - 2017</v>
      </c>
      <c r="I1890" s="1">
        <f t="shared" si="59"/>
        <v>2999.91</v>
      </c>
    </row>
    <row r="1891" spans="1:9" x14ac:dyDescent="0.2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 s="1">
        <f t="shared" si="58"/>
        <v>250.79000000000002</v>
      </c>
      <c r="H1891" s="1" t="str">
        <f>_xlfn.XLOOKUP(C1891,Product!A:A,Product!B:B,"not found",0)</f>
        <v>Sun Bicycles Revolutions 24 - 2017</v>
      </c>
      <c r="I1891" s="1">
        <f t="shared" si="59"/>
        <v>250.79000000000002</v>
      </c>
    </row>
    <row r="1892" spans="1:9" x14ac:dyDescent="0.2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 s="1">
        <f t="shared" si="58"/>
        <v>549.79</v>
      </c>
      <c r="H1892" s="1" t="str">
        <f>_xlfn.XLOOKUP(C1892,Product!A:A,Product!B:B,"not found",0)</f>
        <v>Haro Flightline Two 26 Plus - 2017</v>
      </c>
      <c r="I1892" s="1">
        <f t="shared" si="59"/>
        <v>549.79</v>
      </c>
    </row>
    <row r="1893" spans="1:9" x14ac:dyDescent="0.2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 s="1">
        <f t="shared" si="58"/>
        <v>1320.92</v>
      </c>
      <c r="H1893" s="1" t="str">
        <f>_xlfn.XLOOKUP(C1893,Product!A:A,Product!B:B,"not found",0)</f>
        <v>Heller Shagamaw Frame - 2016</v>
      </c>
      <c r="I1893" s="1">
        <f t="shared" si="59"/>
        <v>1320.92</v>
      </c>
    </row>
    <row r="1894" spans="1:9" x14ac:dyDescent="0.2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 s="1">
        <f t="shared" si="58"/>
        <v>269.89</v>
      </c>
      <c r="H1894" s="1" t="str">
        <f>_xlfn.XLOOKUP(C1894,Product!A:A,Product!B:B,"not found",0)</f>
        <v>Electra Cruiser 1 (24-Inch) - 2016</v>
      </c>
      <c r="I1894" s="1">
        <f t="shared" si="59"/>
        <v>269.89</v>
      </c>
    </row>
    <row r="1895" spans="1:9" x14ac:dyDescent="0.2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 s="1">
        <f t="shared" si="58"/>
        <v>1199.78</v>
      </c>
      <c r="H1895" s="1" t="str">
        <f>_xlfn.XLOOKUP(C1895,Product!A:A,Product!B:B,"not found",0)</f>
        <v>Electra Townie Original 7D EQ - 2016</v>
      </c>
      <c r="I1895" s="1">
        <f t="shared" si="59"/>
        <v>1199.78</v>
      </c>
    </row>
    <row r="1896" spans="1:9" x14ac:dyDescent="0.2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 s="1">
        <f t="shared" si="58"/>
        <v>428.95</v>
      </c>
      <c r="H1896" s="1" t="str">
        <f>_xlfn.XLOOKUP(C1896,Product!A:A,Product!B:B,"not found",0)</f>
        <v>Pure Cycles Vine 8-Speed - 2016</v>
      </c>
      <c r="I1896" s="1">
        <f t="shared" si="59"/>
        <v>428.95</v>
      </c>
    </row>
    <row r="1897" spans="1:9" x14ac:dyDescent="0.2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 s="1">
        <f t="shared" si="58"/>
        <v>419.93</v>
      </c>
      <c r="H1897" s="1" t="str">
        <f>_xlfn.XLOOKUP(C1897,Product!A:A,Product!B:B,"not found",0)</f>
        <v>Trek Precaliber 16 Boys - 2017</v>
      </c>
      <c r="I1897" s="1">
        <f t="shared" si="59"/>
        <v>419.93</v>
      </c>
    </row>
    <row r="1898" spans="1:9" x14ac:dyDescent="0.2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 s="1">
        <f t="shared" si="58"/>
        <v>448.93</v>
      </c>
      <c r="H1898" s="1" t="str">
        <f>_xlfn.XLOOKUP(C1898,Product!A:A,Product!B:B,"not found",0)</f>
        <v>Pure Cycles William 3-Speed - 2016</v>
      </c>
      <c r="I1898" s="1">
        <f t="shared" si="59"/>
        <v>448.93</v>
      </c>
    </row>
    <row r="1899" spans="1:9" x14ac:dyDescent="0.2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 s="1">
        <f t="shared" si="58"/>
        <v>469.79</v>
      </c>
      <c r="H1899" s="1" t="str">
        <f>_xlfn.XLOOKUP(C1899,Product!A:A,Product!B:B,"not found",0)</f>
        <v>Trek Farley Alloy Frameset - 2017</v>
      </c>
      <c r="I1899" s="1">
        <f t="shared" si="59"/>
        <v>469.79</v>
      </c>
    </row>
    <row r="1900" spans="1:9" x14ac:dyDescent="0.2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 s="1">
        <f t="shared" si="58"/>
        <v>659.79</v>
      </c>
      <c r="H1900" s="1" t="str">
        <f>_xlfn.XLOOKUP(C1900,Product!A:A,Product!B:B,"not found",0)</f>
        <v>Electra Amsterdam Original 3i - 2015/2017</v>
      </c>
      <c r="I1900" s="1">
        <f t="shared" si="59"/>
        <v>659.79</v>
      </c>
    </row>
    <row r="1901" spans="1:9" x14ac:dyDescent="0.2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 s="1">
        <f t="shared" si="58"/>
        <v>963.91</v>
      </c>
      <c r="H1901" s="1" t="str">
        <f>_xlfn.XLOOKUP(C1901,Product!A:A,Product!B:B,"not found",0)</f>
        <v>Sun Bicycles Streamway - 2017</v>
      </c>
      <c r="I1901" s="1">
        <f t="shared" si="59"/>
        <v>963.91</v>
      </c>
    </row>
    <row r="1902" spans="1:9" x14ac:dyDescent="0.2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 s="1">
        <f t="shared" si="58"/>
        <v>549.89</v>
      </c>
      <c r="H1902" s="1" t="str">
        <f>_xlfn.XLOOKUP(C1902,Product!A:A,Product!B:B,"not found",0)</f>
        <v>Electra Townie Original 21D - 2016</v>
      </c>
      <c r="I1902" s="1">
        <f t="shared" si="59"/>
        <v>549.89</v>
      </c>
    </row>
    <row r="1903" spans="1:9" x14ac:dyDescent="0.2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 s="1">
        <f t="shared" si="58"/>
        <v>999.79</v>
      </c>
      <c r="H1903" s="1" t="str">
        <f>_xlfn.XLOOKUP(C1903,Product!A:A,Product!B:B,"not found",0)</f>
        <v>Trek X-Caliber 8 - 2017</v>
      </c>
      <c r="I1903" s="1">
        <f t="shared" si="59"/>
        <v>999.79</v>
      </c>
    </row>
    <row r="1904" spans="1:9" x14ac:dyDescent="0.2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 s="1">
        <f t="shared" si="58"/>
        <v>599.91999999999996</v>
      </c>
      <c r="H1904" s="1" t="str">
        <f>_xlfn.XLOOKUP(C1904,Product!A:A,Product!B:B,"not found",0)</f>
        <v>Electra Cruiser Lux Fat Tire 1 Ladies - 2017</v>
      </c>
      <c r="I1904" s="1">
        <f t="shared" si="59"/>
        <v>599.91999999999996</v>
      </c>
    </row>
    <row r="1905" spans="1:9" x14ac:dyDescent="0.2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 s="1">
        <f t="shared" si="58"/>
        <v>7999.91</v>
      </c>
      <c r="H1905" s="1" t="str">
        <f>_xlfn.XLOOKUP(C1905,Product!A:A,Product!B:B,"not found",0)</f>
        <v>Trek Slash 8 27.5 - 2016</v>
      </c>
      <c r="I1905" s="1">
        <f t="shared" si="59"/>
        <v>7999.91</v>
      </c>
    </row>
    <row r="1906" spans="1:9" x14ac:dyDescent="0.2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 s="1">
        <f t="shared" si="58"/>
        <v>1067.9100000000001</v>
      </c>
      <c r="H1906" s="1" t="str">
        <f>_xlfn.XLOOKUP(C1906,Product!A:A,Product!B:B,"not found",0)</f>
        <v>Sun Bicycles Streamway 7 - 2017</v>
      </c>
      <c r="I1906" s="1">
        <f t="shared" si="59"/>
        <v>1067.9100000000001</v>
      </c>
    </row>
    <row r="1907" spans="1:9" x14ac:dyDescent="0.2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 s="1">
        <f t="shared" si="58"/>
        <v>699.93000000000006</v>
      </c>
      <c r="H1907" s="1" t="str">
        <f>_xlfn.XLOOKUP(C1907,Product!A:A,Product!B:B,"not found",0)</f>
        <v>Trek Precaliber 24 (21-Speed) - Girls - 2017</v>
      </c>
      <c r="I1907" s="1">
        <f t="shared" si="59"/>
        <v>699.93000000000006</v>
      </c>
    </row>
    <row r="1908" spans="1:9" x14ac:dyDescent="0.2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 s="1">
        <f t="shared" si="58"/>
        <v>6399.8799999999992</v>
      </c>
      <c r="H1908" s="1" t="str">
        <f>_xlfn.XLOOKUP(C1908,Product!A:A,Product!B:B,"not found",0)</f>
        <v>Trek Domane SL Disc Frameset - 2017</v>
      </c>
      <c r="I1908" s="1">
        <f t="shared" si="59"/>
        <v>6399.8799999999992</v>
      </c>
    </row>
    <row r="1909" spans="1:9" x14ac:dyDescent="0.2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 s="1">
        <f t="shared" si="58"/>
        <v>1751.93</v>
      </c>
      <c r="H1909" s="1" t="str">
        <f>_xlfn.XLOOKUP(C1909,Product!A:A,Product!B:B,"not found",0)</f>
        <v>Surly Steamroller - 2017</v>
      </c>
      <c r="I1909" s="1">
        <f t="shared" si="59"/>
        <v>1751.93</v>
      </c>
    </row>
    <row r="1910" spans="1:9" x14ac:dyDescent="0.2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 s="1">
        <f t="shared" si="58"/>
        <v>759.91</v>
      </c>
      <c r="H1910" s="1" t="str">
        <f>_xlfn.XLOOKUP(C1910,Product!A:A,Product!B:B,"not found",0)</f>
        <v>Haro Flightline One ST - 2017</v>
      </c>
      <c r="I1910" s="1">
        <f t="shared" si="59"/>
        <v>759.91</v>
      </c>
    </row>
    <row r="1911" spans="1:9" x14ac:dyDescent="0.2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 s="1">
        <f t="shared" si="58"/>
        <v>1059.78</v>
      </c>
      <c r="H1911" s="1" t="str">
        <f>_xlfn.XLOOKUP(C1911,Product!A:A,Product!B:B,"not found",0)</f>
        <v>Electra Moto 1 - 2016</v>
      </c>
      <c r="I1911" s="1">
        <f t="shared" si="59"/>
        <v>1059.78</v>
      </c>
    </row>
    <row r="1912" spans="1:9" x14ac:dyDescent="0.2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 s="1">
        <f t="shared" si="58"/>
        <v>299.93</v>
      </c>
      <c r="H1912" s="1" t="str">
        <f>_xlfn.XLOOKUP(C1912,Product!A:A,Product!B:B,"not found",0)</f>
        <v>Trek Boy's Kickster - 2015/2017</v>
      </c>
      <c r="I1912" s="1">
        <f t="shared" si="59"/>
        <v>299.93</v>
      </c>
    </row>
    <row r="1913" spans="1:9" x14ac:dyDescent="0.2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 s="1">
        <f t="shared" si="58"/>
        <v>2199.9299999999998</v>
      </c>
      <c r="H1913" s="1" t="str">
        <f>_xlfn.XLOOKUP(C1913,Product!A:A,Product!B:B,"not found",0)</f>
        <v>Electra Amsterdam Fashion 7i Ladies' - 2017</v>
      </c>
      <c r="I1913" s="1">
        <f t="shared" si="59"/>
        <v>2199.9299999999998</v>
      </c>
    </row>
    <row r="1914" spans="1:9" x14ac:dyDescent="0.2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 s="1">
        <f t="shared" si="58"/>
        <v>3999.79</v>
      </c>
      <c r="H1914" s="1" t="str">
        <f>_xlfn.XLOOKUP(C1914,Product!A:A,Product!B:B,"not found",0)</f>
        <v>Trek Slash 8 27.5 - 2016</v>
      </c>
      <c r="I1914" s="1">
        <f t="shared" si="59"/>
        <v>3999.79</v>
      </c>
    </row>
    <row r="1915" spans="1:9" x14ac:dyDescent="0.2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 s="1">
        <f t="shared" si="58"/>
        <v>5999.92</v>
      </c>
      <c r="H1915" s="1" t="str">
        <f>_xlfn.XLOOKUP(C1915,Product!A:A,Product!B:B,"not found",0)</f>
        <v>Trek Silque SLR 7 Women's - 2017</v>
      </c>
      <c r="I1915" s="1">
        <f t="shared" si="59"/>
        <v>5999.92</v>
      </c>
    </row>
    <row r="1916" spans="1:9" x14ac:dyDescent="0.2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 s="1">
        <f t="shared" si="58"/>
        <v>659.94</v>
      </c>
      <c r="H1916" s="1" t="str">
        <f>_xlfn.XLOOKUP(C1916,Product!A:A,Product!B:B,"not found",0)</f>
        <v>Electra Amsterdam Original 3i Ladies' - 2017</v>
      </c>
      <c r="I1916" s="1">
        <f t="shared" si="59"/>
        <v>659.94</v>
      </c>
    </row>
    <row r="1917" spans="1:9" x14ac:dyDescent="0.2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 s="1">
        <f t="shared" si="58"/>
        <v>3499.9199999999996</v>
      </c>
      <c r="H1917" s="1" t="str">
        <f>_xlfn.XLOOKUP(C1917,Product!A:A,Product!B:B,"not found",0)</f>
        <v>Trek Boone Race Shop Limited - 2017</v>
      </c>
      <c r="I1917" s="1">
        <f t="shared" si="59"/>
        <v>3499.9199999999996</v>
      </c>
    </row>
    <row r="1918" spans="1:9" x14ac:dyDescent="0.2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 s="1">
        <f t="shared" si="58"/>
        <v>4999.79</v>
      </c>
      <c r="H1918" s="1" t="str">
        <f>_xlfn.XLOOKUP(C1918,Product!A:A,Product!B:B,"not found",0)</f>
        <v>Trek Powerfly 8 FS Plus - 2017</v>
      </c>
      <c r="I1918" s="1">
        <f t="shared" si="59"/>
        <v>4999.79</v>
      </c>
    </row>
    <row r="1919" spans="1:9" x14ac:dyDescent="0.2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 s="1">
        <f t="shared" si="58"/>
        <v>939.93000000000006</v>
      </c>
      <c r="H1919" s="1" t="str">
        <f>_xlfn.XLOOKUP(C1919,Product!A:A,Product!B:B,"not found",0)</f>
        <v>Surly Ice Cream Truck Frameset - 2016</v>
      </c>
      <c r="I1919" s="1">
        <f t="shared" si="59"/>
        <v>939.93000000000006</v>
      </c>
    </row>
    <row r="1920" spans="1:9" x14ac:dyDescent="0.2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 s="1">
        <f t="shared" si="58"/>
        <v>999.92</v>
      </c>
      <c r="H1920" s="1" t="str">
        <f>_xlfn.XLOOKUP(C1920,Product!A:A,Product!B:B,"not found",0)</f>
        <v>Surly Ice Cream Truck Frameset - 2017</v>
      </c>
      <c r="I1920" s="1">
        <f t="shared" si="59"/>
        <v>999.92</v>
      </c>
    </row>
    <row r="1921" spans="1:9" x14ac:dyDescent="0.2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 s="1">
        <f t="shared" si="58"/>
        <v>1499.79</v>
      </c>
      <c r="H1921" s="1" t="str">
        <f>_xlfn.XLOOKUP(C1921,Product!A:A,Product!B:B,"not found",0)</f>
        <v>Trek Stache 5 - 2017</v>
      </c>
      <c r="I1921" s="1">
        <f t="shared" si="59"/>
        <v>1499.79</v>
      </c>
    </row>
    <row r="1922" spans="1:9" x14ac:dyDescent="0.2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 s="1">
        <f t="shared" si="58"/>
        <v>3119.78</v>
      </c>
      <c r="H1922" s="1" t="str">
        <f>_xlfn.XLOOKUP(C1922,Product!A:A,Product!B:B,"not found",0)</f>
        <v>Sun Bicycles ElectroLite - 2017</v>
      </c>
      <c r="I1922" s="1">
        <f t="shared" si="59"/>
        <v>3119.78</v>
      </c>
    </row>
    <row r="1923" spans="1:9" x14ac:dyDescent="0.2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 s="1">
        <f t="shared" ref="G1923:G1986" si="60">(E1923*D1923)-F1923</f>
        <v>299.79000000000002</v>
      </c>
      <c r="H1923" s="1" t="str">
        <f>_xlfn.XLOOKUP(C1923,Product!A:A,Product!B:B,"not found",0)</f>
        <v>Electra Sugar Skulls 1 (20-inch) - Girl's - 2017</v>
      </c>
      <c r="I1923" s="1">
        <f t="shared" ref="I1923:I1986" si="61">(D1923*E1923)-F1923</f>
        <v>299.79000000000002</v>
      </c>
    </row>
    <row r="1924" spans="1:9" x14ac:dyDescent="0.2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 s="1">
        <f t="shared" si="60"/>
        <v>1499.88</v>
      </c>
      <c r="H1924" s="1" t="str">
        <f>_xlfn.XLOOKUP(C1924,Product!A:A,Product!B:B,"not found",0)</f>
        <v>Ritchey Timberwolf Frameset - 2016</v>
      </c>
      <c r="I1924" s="1">
        <f t="shared" si="61"/>
        <v>1499.88</v>
      </c>
    </row>
    <row r="1925" spans="1:9" x14ac:dyDescent="0.2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 s="1">
        <f t="shared" si="60"/>
        <v>5499.92</v>
      </c>
      <c r="H1925" s="1" t="str">
        <f>_xlfn.XLOOKUP(C1925,Product!A:A,Product!B:B,"not found",0)</f>
        <v>Trek Domane SLR 6 Disc - 2017</v>
      </c>
      <c r="I1925" s="1">
        <f t="shared" si="61"/>
        <v>5499.92</v>
      </c>
    </row>
    <row r="1926" spans="1:9" x14ac:dyDescent="0.2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 s="1">
        <f t="shared" si="60"/>
        <v>469.89</v>
      </c>
      <c r="H1926" s="1" t="str">
        <f>_xlfn.XLOOKUP(C1926,Product!A:A,Product!B:B,"not found",0)</f>
        <v>Surly Wednesday Frameset - 2017</v>
      </c>
      <c r="I1926" s="1">
        <f t="shared" si="61"/>
        <v>469.89</v>
      </c>
    </row>
    <row r="1927" spans="1:9" x14ac:dyDescent="0.2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 s="1">
        <f t="shared" si="60"/>
        <v>2599.9399999999996</v>
      </c>
      <c r="H1927" s="1" t="str">
        <f>_xlfn.XLOOKUP(C1927,Product!A:A,Product!B:B,"not found",0)</f>
        <v>Trek Domane S 5 Disc - 2017</v>
      </c>
      <c r="I1927" s="1">
        <f t="shared" si="61"/>
        <v>2599.9399999999996</v>
      </c>
    </row>
    <row r="1928" spans="1:9" x14ac:dyDescent="0.2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 s="1">
        <f t="shared" si="60"/>
        <v>2999.93</v>
      </c>
      <c r="H1928" s="1" t="str">
        <f>_xlfn.XLOOKUP(C1928,Product!A:A,Product!B:B,"not found",0)</f>
        <v>Trek Emonda S 4 - 2017</v>
      </c>
      <c r="I1928" s="1">
        <f t="shared" si="61"/>
        <v>2999.93</v>
      </c>
    </row>
    <row r="1929" spans="1:9" x14ac:dyDescent="0.2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 s="1">
        <f t="shared" si="60"/>
        <v>416.94</v>
      </c>
      <c r="H1929" s="1" t="str">
        <f>_xlfn.XLOOKUP(C1929,Product!A:A,Product!B:B,"not found",0)</f>
        <v>Sun Bicycles Cruz 7 - 2017</v>
      </c>
      <c r="I1929" s="1">
        <f t="shared" si="61"/>
        <v>416.94</v>
      </c>
    </row>
    <row r="1930" spans="1:9" x14ac:dyDescent="0.2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 s="1">
        <f t="shared" si="60"/>
        <v>979.78</v>
      </c>
      <c r="H1930" s="1" t="str">
        <f>_xlfn.XLOOKUP(C1930,Product!A:A,Product!B:B,"not found",0)</f>
        <v>Electra Straight 8 3i (20-inch) - Boy's - 2017</v>
      </c>
      <c r="I1930" s="1">
        <f t="shared" si="61"/>
        <v>979.78</v>
      </c>
    </row>
    <row r="1931" spans="1:9" x14ac:dyDescent="0.2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 s="1">
        <f t="shared" si="60"/>
        <v>10999.93</v>
      </c>
      <c r="H1931" s="1" t="str">
        <f>_xlfn.XLOOKUP(C1931,Product!A:A,Product!B:B,"not found",0)</f>
        <v>Trek Domane SLR 6 Disc - 2017</v>
      </c>
      <c r="I1931" s="1">
        <f t="shared" si="61"/>
        <v>10999.93</v>
      </c>
    </row>
    <row r="1932" spans="1:9" x14ac:dyDescent="0.2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 s="1">
        <f t="shared" si="60"/>
        <v>599.79</v>
      </c>
      <c r="H1932" s="1" t="str">
        <f>_xlfn.XLOOKUP(C1932,Product!A:A,Product!B:B,"not found",0)</f>
        <v>Electra Townie Original 7D EQ - 2016</v>
      </c>
      <c r="I1932" s="1">
        <f t="shared" si="61"/>
        <v>599.79</v>
      </c>
    </row>
    <row r="1933" spans="1:9" x14ac:dyDescent="0.2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 s="1">
        <f t="shared" si="60"/>
        <v>999.89</v>
      </c>
      <c r="H1933" s="1" t="str">
        <f>_xlfn.XLOOKUP(C1933,Product!A:A,Product!B:B,"not found",0)</f>
        <v>Surly Ice Cream Truck Frameset - 2017</v>
      </c>
      <c r="I1933" s="1">
        <f t="shared" si="61"/>
        <v>999.89</v>
      </c>
    </row>
    <row r="1934" spans="1:9" x14ac:dyDescent="0.2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 s="1">
        <f t="shared" si="60"/>
        <v>379.78000000000003</v>
      </c>
      <c r="H1934" s="1" t="str">
        <f>_xlfn.XLOOKUP(C1934,Product!A:A,Product!B:B,"not found",0)</f>
        <v>Trek Precaliber 12 Girls - 2017</v>
      </c>
      <c r="I1934" s="1">
        <f t="shared" si="61"/>
        <v>379.78000000000003</v>
      </c>
    </row>
    <row r="1935" spans="1:9" x14ac:dyDescent="0.2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 s="1">
        <f t="shared" si="60"/>
        <v>897.8</v>
      </c>
      <c r="H1935" s="1" t="str">
        <f>_xlfn.XLOOKUP(C1935,Product!A:A,Product!B:B,"not found",0)</f>
        <v>Pure Cycles William 3-Speed - 2016</v>
      </c>
      <c r="I1935" s="1">
        <f t="shared" si="61"/>
        <v>897.8</v>
      </c>
    </row>
    <row r="1936" spans="1:9" x14ac:dyDescent="0.2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 s="1">
        <f t="shared" si="60"/>
        <v>481.79</v>
      </c>
      <c r="H1936" s="1" t="str">
        <f>_xlfn.XLOOKUP(C1936,Product!A:A,Product!B:B,"not found",0)</f>
        <v>Sun Bicycles Streamway - 2017</v>
      </c>
      <c r="I1936" s="1">
        <f t="shared" si="61"/>
        <v>481.79</v>
      </c>
    </row>
    <row r="1937" spans="1:9" x14ac:dyDescent="0.2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 s="1">
        <f t="shared" si="60"/>
        <v>2999.93</v>
      </c>
      <c r="H1937" s="1" t="str">
        <f>_xlfn.XLOOKUP(C1937,Product!A:A,Product!B:B,"not found",0)</f>
        <v>Trek Emonda S 4 - 2017</v>
      </c>
      <c r="I1937" s="1">
        <f t="shared" si="61"/>
        <v>2999.93</v>
      </c>
    </row>
    <row r="1938" spans="1:9" x14ac:dyDescent="0.2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 s="1">
        <f t="shared" si="60"/>
        <v>299.92</v>
      </c>
      <c r="H1938" s="1" t="str">
        <f>_xlfn.XLOOKUP(C1938,Product!A:A,Product!B:B,"not found",0)</f>
        <v>Electra Girl's Hawaii 1 16" - 2017</v>
      </c>
      <c r="I1938" s="1">
        <f t="shared" si="61"/>
        <v>299.92</v>
      </c>
    </row>
    <row r="1939" spans="1:9" x14ac:dyDescent="0.2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 s="1">
        <f t="shared" si="60"/>
        <v>2641.78</v>
      </c>
      <c r="H1939" s="1" t="str">
        <f>_xlfn.XLOOKUP(C1939,Product!A:A,Product!B:B,"not found",0)</f>
        <v>Heller Shagamaw Frame - 2016</v>
      </c>
      <c r="I1939" s="1">
        <f t="shared" si="61"/>
        <v>2641.78</v>
      </c>
    </row>
    <row r="1940" spans="1:9" x14ac:dyDescent="0.2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 s="1">
        <f t="shared" si="60"/>
        <v>149.92000000000002</v>
      </c>
      <c r="H1940" s="1" t="str">
        <f>_xlfn.XLOOKUP(C1940,Product!A:A,Product!B:B,"not found",0)</f>
        <v>Trek Boy's Kickster - 2015/2017</v>
      </c>
      <c r="I1940" s="1">
        <f t="shared" si="61"/>
        <v>149.92000000000002</v>
      </c>
    </row>
    <row r="1941" spans="1:9" x14ac:dyDescent="0.2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 s="1">
        <f t="shared" si="60"/>
        <v>1799.89</v>
      </c>
      <c r="H1941" s="1" t="str">
        <f>_xlfn.XLOOKUP(C1941,Product!A:A,Product!B:B,"not found",0)</f>
        <v>Trek Remedy 29 Carbon Frameset - 2016</v>
      </c>
      <c r="I1941" s="1">
        <f t="shared" si="61"/>
        <v>1799.89</v>
      </c>
    </row>
    <row r="1942" spans="1:9" x14ac:dyDescent="0.2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 s="1">
        <f t="shared" si="60"/>
        <v>189.94</v>
      </c>
      <c r="H1942" s="1" t="str">
        <f>_xlfn.XLOOKUP(C1942,Product!A:A,Product!B:B,"not found",0)</f>
        <v>Trek Precaliber 12 Girls - 2017</v>
      </c>
      <c r="I1942" s="1">
        <f t="shared" si="61"/>
        <v>189.94</v>
      </c>
    </row>
    <row r="1943" spans="1:9" x14ac:dyDescent="0.2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 s="1">
        <f t="shared" si="60"/>
        <v>939.88</v>
      </c>
      <c r="H1943" s="1" t="str">
        <f>_xlfn.XLOOKUP(C1943,Product!A:A,Product!B:B,"not found",0)</f>
        <v>Surly Wednesday Frameset - 2017</v>
      </c>
      <c r="I1943" s="1">
        <f t="shared" si="61"/>
        <v>939.88</v>
      </c>
    </row>
    <row r="1944" spans="1:9" x14ac:dyDescent="0.2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 s="1">
        <f t="shared" si="60"/>
        <v>109.78999999999999</v>
      </c>
      <c r="H1944" s="1" t="str">
        <f>_xlfn.XLOOKUP(C1944,Product!A:A,Product!B:B,"not found",0)</f>
        <v>Sun Bicycles Lil Kitt'n - 2017</v>
      </c>
      <c r="I1944" s="1">
        <f t="shared" si="61"/>
        <v>109.78999999999999</v>
      </c>
    </row>
    <row r="1945" spans="1:9" x14ac:dyDescent="0.2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 s="1">
        <f t="shared" si="60"/>
        <v>3361.91</v>
      </c>
      <c r="H1945" s="1" t="str">
        <f>_xlfn.XLOOKUP(C1945,Product!A:A,Product!B:B,"not found",0)</f>
        <v>Surly Straggler 650b - 2016</v>
      </c>
      <c r="I1945" s="1">
        <f t="shared" si="61"/>
        <v>3361.91</v>
      </c>
    </row>
    <row r="1946" spans="1:9" x14ac:dyDescent="0.2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 s="1">
        <f t="shared" si="60"/>
        <v>329.94</v>
      </c>
      <c r="H1946" s="1" t="str">
        <f>_xlfn.XLOOKUP(C1946,Product!A:A,Product!B:B,"not found",0)</f>
        <v>Haro Downtown 16 - 2017</v>
      </c>
      <c r="I1946" s="1">
        <f t="shared" si="61"/>
        <v>329.94</v>
      </c>
    </row>
    <row r="1947" spans="1:9" x14ac:dyDescent="0.2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 s="1">
        <f t="shared" si="60"/>
        <v>833.78</v>
      </c>
      <c r="H1947" s="1" t="str">
        <f>_xlfn.XLOOKUP(C1947,Product!A:A,Product!B:B,"not found",0)</f>
        <v>Sun Bicycles Cruz 7 - Women's - 2017</v>
      </c>
      <c r="I1947" s="1">
        <f t="shared" si="61"/>
        <v>833.78</v>
      </c>
    </row>
    <row r="1948" spans="1:9" x14ac:dyDescent="0.2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 s="1">
        <f t="shared" si="60"/>
        <v>599.93000000000006</v>
      </c>
      <c r="H1948" s="1" t="str">
        <f>_xlfn.XLOOKUP(C1948,Product!A:A,Product!B:B,"not found",0)</f>
        <v>Electra Girl's Hawaii 1 (20-inch) - 2015/2016</v>
      </c>
      <c r="I1948" s="1">
        <f t="shared" si="61"/>
        <v>599.93000000000006</v>
      </c>
    </row>
    <row r="1949" spans="1:9" x14ac:dyDescent="0.2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 s="1">
        <f t="shared" si="60"/>
        <v>2641.88</v>
      </c>
      <c r="H1949" s="1" t="str">
        <f>_xlfn.XLOOKUP(C1949,Product!A:A,Product!B:B,"not found",0)</f>
        <v>Heller Shagamaw Frame - 2016</v>
      </c>
      <c r="I1949" s="1">
        <f t="shared" si="61"/>
        <v>2641.88</v>
      </c>
    </row>
    <row r="1950" spans="1:9" x14ac:dyDescent="0.2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 s="1">
        <f t="shared" si="60"/>
        <v>5399.78</v>
      </c>
      <c r="H1950" s="1" t="str">
        <f>_xlfn.XLOOKUP(C1950,Product!A:A,Product!B:B,"not found",0)</f>
        <v>Trek Domane S 6 - 2017</v>
      </c>
      <c r="I1950" s="1">
        <f t="shared" si="61"/>
        <v>5399.78</v>
      </c>
    </row>
    <row r="1951" spans="1:9" x14ac:dyDescent="0.2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 s="1">
        <f t="shared" si="60"/>
        <v>599.79</v>
      </c>
      <c r="H1951" s="1" t="str">
        <f>_xlfn.XLOOKUP(C1951,Product!A:A,Product!B:B,"not found",0)</f>
        <v>Electra Townie Original 7D EQ - Women's - 2016</v>
      </c>
      <c r="I1951" s="1">
        <f t="shared" si="61"/>
        <v>599.79</v>
      </c>
    </row>
    <row r="1952" spans="1:9" x14ac:dyDescent="0.2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 s="1">
        <f t="shared" si="60"/>
        <v>2599.79</v>
      </c>
      <c r="H1952" s="1" t="str">
        <f>_xlfn.XLOOKUP(C1952,Product!A:A,Product!B:B,"not found",0)</f>
        <v>Trek Domane S 5 Disc - 2017</v>
      </c>
      <c r="I1952" s="1">
        <f t="shared" si="61"/>
        <v>2599.79</v>
      </c>
    </row>
    <row r="1953" spans="1:9" x14ac:dyDescent="0.2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 s="1">
        <f t="shared" si="60"/>
        <v>599.91999999999996</v>
      </c>
      <c r="H1953" s="1" t="str">
        <f>_xlfn.XLOOKUP(C1953,Product!A:A,Product!B:B,"not found",0)</f>
        <v>Electra Cruiser Lux Fat Tire 1 Ladies - 2017</v>
      </c>
      <c r="I1953" s="1">
        <f t="shared" si="61"/>
        <v>599.91999999999996</v>
      </c>
    </row>
    <row r="1954" spans="1:9" x14ac:dyDescent="0.2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 s="1">
        <f t="shared" si="60"/>
        <v>1059.9100000000001</v>
      </c>
      <c r="H1954" s="1" t="str">
        <f>_xlfn.XLOOKUP(C1954,Product!A:A,Product!B:B,"not found",0)</f>
        <v>Electra Moto 1 - 2016</v>
      </c>
      <c r="I1954" s="1">
        <f t="shared" si="61"/>
        <v>1059.9100000000001</v>
      </c>
    </row>
    <row r="1955" spans="1:9" x14ac:dyDescent="0.2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 s="1">
        <f t="shared" si="60"/>
        <v>10999.88</v>
      </c>
      <c r="H1955" s="1" t="str">
        <f>_xlfn.XLOOKUP(C1955,Product!A:A,Product!B:B,"not found",0)</f>
        <v>Trek Domane SLR 6 Disc - 2017</v>
      </c>
      <c r="I1955" s="1">
        <f t="shared" si="61"/>
        <v>10999.88</v>
      </c>
    </row>
    <row r="1956" spans="1:9" x14ac:dyDescent="0.2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 s="1">
        <f t="shared" si="60"/>
        <v>963.78</v>
      </c>
      <c r="H1956" s="1" t="str">
        <f>_xlfn.XLOOKUP(C1956,Product!A:A,Product!B:B,"not found",0)</f>
        <v>Sun Bicycles Streamway - 2017</v>
      </c>
      <c r="I1956" s="1">
        <f t="shared" si="61"/>
        <v>963.78</v>
      </c>
    </row>
    <row r="1957" spans="1:9" x14ac:dyDescent="0.2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 s="1">
        <f t="shared" si="60"/>
        <v>269.79000000000002</v>
      </c>
      <c r="H1957" s="1" t="str">
        <f>_xlfn.XLOOKUP(C1957,Product!A:A,Product!B:B,"not found",0)</f>
        <v>Electra Cruiser 1 (24-Inch) - 2016</v>
      </c>
      <c r="I1957" s="1">
        <f t="shared" si="61"/>
        <v>269.79000000000002</v>
      </c>
    </row>
    <row r="1958" spans="1:9" x14ac:dyDescent="0.2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 s="1">
        <f t="shared" si="60"/>
        <v>2641.93</v>
      </c>
      <c r="H1958" s="1" t="str">
        <f>_xlfn.XLOOKUP(C1958,Product!A:A,Product!B:B,"not found",0)</f>
        <v>Heller Shagamaw Frame - 2016</v>
      </c>
      <c r="I1958" s="1">
        <f t="shared" si="61"/>
        <v>2641.93</v>
      </c>
    </row>
    <row r="1959" spans="1:9" x14ac:dyDescent="0.2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 s="1">
        <f t="shared" si="60"/>
        <v>1632.92</v>
      </c>
      <c r="H1959" s="1" t="str">
        <f>_xlfn.XLOOKUP(C1959,Product!A:A,Product!B:B,"not found",0)</f>
        <v>Surly Wednesday - 2017</v>
      </c>
      <c r="I1959" s="1">
        <f t="shared" si="61"/>
        <v>1632.92</v>
      </c>
    </row>
    <row r="1960" spans="1:9" x14ac:dyDescent="0.2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 s="1">
        <f t="shared" si="60"/>
        <v>1499.79</v>
      </c>
      <c r="H1960" s="1" t="str">
        <f>_xlfn.XLOOKUP(C1960,Product!A:A,Product!B:B,"not found",0)</f>
        <v>Trek Emonda S 4 - 2017</v>
      </c>
      <c r="I1960" s="1">
        <f t="shared" si="61"/>
        <v>1499.79</v>
      </c>
    </row>
    <row r="1961" spans="1:9" x14ac:dyDescent="0.2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 s="1">
        <f t="shared" si="60"/>
        <v>1499.94</v>
      </c>
      <c r="H1961" s="1" t="str">
        <f>_xlfn.XLOOKUP(C1961,Product!A:A,Product!B:B,"not found",0)</f>
        <v>Trek Stache 5 - 2017</v>
      </c>
      <c r="I1961" s="1">
        <f t="shared" si="61"/>
        <v>1499.94</v>
      </c>
    </row>
    <row r="1962" spans="1:9" x14ac:dyDescent="0.2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 s="1">
        <f t="shared" si="60"/>
        <v>5399.8799999999992</v>
      </c>
      <c r="H1962" s="1" t="str">
        <f>_xlfn.XLOOKUP(C1962,Product!A:A,Product!B:B,"not found",0)</f>
        <v>Trek Domane S 6 - 2017</v>
      </c>
      <c r="I1962" s="1">
        <f t="shared" si="61"/>
        <v>5399.8799999999992</v>
      </c>
    </row>
    <row r="1963" spans="1:9" x14ac:dyDescent="0.2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 s="1">
        <f t="shared" si="60"/>
        <v>1103.78</v>
      </c>
      <c r="H1963" s="1" t="str">
        <f>_xlfn.XLOOKUP(C1963,Product!A:A,Product!B:B,"not found",0)</f>
        <v>Sun Bicycles Streamway 3 - 2017</v>
      </c>
      <c r="I1963" s="1">
        <f t="shared" si="61"/>
        <v>1103.78</v>
      </c>
    </row>
    <row r="1964" spans="1:9" x14ac:dyDescent="0.2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 s="1">
        <f t="shared" si="60"/>
        <v>1739.88</v>
      </c>
      <c r="H1964" s="1" t="str">
        <f>_xlfn.XLOOKUP(C1964,Product!A:A,Product!B:B,"not found",0)</f>
        <v>Haro SR 1.2 - 2017</v>
      </c>
      <c r="I1964" s="1">
        <f t="shared" si="61"/>
        <v>1739.88</v>
      </c>
    </row>
    <row r="1965" spans="1:9" x14ac:dyDescent="0.2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 s="1">
        <f t="shared" si="60"/>
        <v>1319.88</v>
      </c>
      <c r="H1965" s="1" t="str">
        <f>_xlfn.XLOOKUP(C1965,Product!A:A,Product!B:B,"not found",0)</f>
        <v>Electra Amsterdam Original 3i Ladies' - 2017</v>
      </c>
      <c r="I1965" s="1">
        <f t="shared" si="61"/>
        <v>1319.88</v>
      </c>
    </row>
    <row r="1966" spans="1:9" x14ac:dyDescent="0.2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 s="1">
        <f t="shared" si="60"/>
        <v>3999.78</v>
      </c>
      <c r="H1966" s="1" t="str">
        <f>_xlfn.XLOOKUP(C1966,Product!A:A,Product!B:B,"not found",0)</f>
        <v>Trek Emonda S 5 - 2017</v>
      </c>
      <c r="I1966" s="1">
        <f t="shared" si="61"/>
        <v>3999.78</v>
      </c>
    </row>
    <row r="1967" spans="1:9" x14ac:dyDescent="0.2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 s="1">
        <f t="shared" si="60"/>
        <v>379.91</v>
      </c>
      <c r="H1967" s="1" t="str">
        <f>_xlfn.XLOOKUP(C1967,Product!A:A,Product!B:B,"not found",0)</f>
        <v>Trek Precaliber 12 Girls - 2017</v>
      </c>
      <c r="I1967" s="1">
        <f t="shared" si="61"/>
        <v>379.91</v>
      </c>
    </row>
    <row r="1968" spans="1:9" x14ac:dyDescent="0.2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 s="1">
        <f t="shared" si="60"/>
        <v>3999.89</v>
      </c>
      <c r="H1968" s="1" t="str">
        <f>_xlfn.XLOOKUP(C1968,Product!A:A,Product!B:B,"not found",0)</f>
        <v>Trek Slash 8 27.5 - 2016</v>
      </c>
      <c r="I1968" s="1">
        <f t="shared" si="61"/>
        <v>3999.89</v>
      </c>
    </row>
    <row r="1969" spans="1:9" x14ac:dyDescent="0.2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 s="1">
        <f t="shared" si="60"/>
        <v>869.92</v>
      </c>
      <c r="H1969" s="1" t="str">
        <f>_xlfn.XLOOKUP(C1969,Product!A:A,Product!B:B,"not found",0)</f>
        <v>Haro SR 1.2 - 2017</v>
      </c>
      <c r="I1969" s="1">
        <f t="shared" si="61"/>
        <v>869.92</v>
      </c>
    </row>
    <row r="1970" spans="1:9" x14ac:dyDescent="0.2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 s="1">
        <f t="shared" si="60"/>
        <v>2641.93</v>
      </c>
      <c r="H1970" s="1" t="str">
        <f>_xlfn.XLOOKUP(C1970,Product!A:A,Product!B:B,"not found",0)</f>
        <v>Heller Shagamaw Frame - 2016</v>
      </c>
      <c r="I1970" s="1">
        <f t="shared" si="61"/>
        <v>2641.93</v>
      </c>
    </row>
    <row r="1971" spans="1:9" x14ac:dyDescent="0.2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 s="1">
        <f t="shared" si="60"/>
        <v>349.92</v>
      </c>
      <c r="H1971" s="1" t="str">
        <f>_xlfn.XLOOKUP(C1971,Product!A:A,Product!B:B,"not found",0)</f>
        <v>Electra Moto 3i (20-inch) - Boy's - 2017</v>
      </c>
      <c r="I1971" s="1">
        <f t="shared" si="61"/>
        <v>349.92</v>
      </c>
    </row>
    <row r="1972" spans="1:9" x14ac:dyDescent="0.2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 s="1">
        <f t="shared" si="60"/>
        <v>549.91999999999996</v>
      </c>
      <c r="H1972" s="1" t="str">
        <f>_xlfn.XLOOKUP(C1972,Product!A:A,Product!B:B,"not found",0)</f>
        <v>Electra Townie Original 21D - 2016</v>
      </c>
      <c r="I1972" s="1">
        <f t="shared" si="61"/>
        <v>549.91999999999996</v>
      </c>
    </row>
    <row r="1973" spans="1:9" x14ac:dyDescent="0.2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 s="1">
        <f t="shared" si="60"/>
        <v>9999.93</v>
      </c>
      <c r="H1973" s="1" t="str">
        <f>_xlfn.XLOOKUP(C1973,Product!A:A,Product!B:B,"not found",0)</f>
        <v>Trek Fuel EX 9.8 29 - 2017</v>
      </c>
      <c r="I1973" s="1">
        <f t="shared" si="61"/>
        <v>9999.93</v>
      </c>
    </row>
    <row r="1974" spans="1:9" x14ac:dyDescent="0.2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 s="1">
        <f t="shared" si="60"/>
        <v>899.88</v>
      </c>
      <c r="H1974" s="1" t="str">
        <f>_xlfn.XLOOKUP(C1974,Product!A:A,Product!B:B,"not found",0)</f>
        <v>Sun Bicycles Cruz 3 - 2017</v>
      </c>
      <c r="I1974" s="1">
        <f t="shared" si="61"/>
        <v>899.88</v>
      </c>
    </row>
    <row r="1975" spans="1:9" x14ac:dyDescent="0.2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 s="1">
        <f t="shared" si="60"/>
        <v>1499.92</v>
      </c>
      <c r="H1975" s="1" t="str">
        <f>_xlfn.XLOOKUP(C1975,Product!A:A,Product!B:B,"not found",0)</f>
        <v>Trek Emonda S 4 - 2017</v>
      </c>
      <c r="I1975" s="1">
        <f t="shared" si="61"/>
        <v>1499.92</v>
      </c>
    </row>
    <row r="1976" spans="1:9" x14ac:dyDescent="0.2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 s="1">
        <f t="shared" si="60"/>
        <v>1632.79</v>
      </c>
      <c r="H1976" s="1" t="str">
        <f>_xlfn.XLOOKUP(C1976,Product!A:A,Product!B:B,"not found",0)</f>
        <v>Surly Wednesday - 2017</v>
      </c>
      <c r="I1976" s="1">
        <f t="shared" si="61"/>
        <v>1632.79</v>
      </c>
    </row>
    <row r="1977" spans="1:9" x14ac:dyDescent="0.2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 s="1">
        <f t="shared" si="60"/>
        <v>1099.8800000000001</v>
      </c>
      <c r="H1977" s="1" t="str">
        <f>_xlfn.XLOOKUP(C1977,Product!A:A,Product!B:B,"not found",0)</f>
        <v>Electra Townie Original 21D - 2016</v>
      </c>
      <c r="I1977" s="1">
        <f t="shared" si="61"/>
        <v>1099.8800000000001</v>
      </c>
    </row>
    <row r="1978" spans="1:9" x14ac:dyDescent="0.2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 s="1">
        <f t="shared" si="60"/>
        <v>1319.78</v>
      </c>
      <c r="H1978" s="1" t="str">
        <f>_xlfn.XLOOKUP(C1978,Product!A:A,Product!B:B,"not found",0)</f>
        <v>Electra Amsterdam Original 3i Ladies' - 2017</v>
      </c>
      <c r="I1978" s="1">
        <f t="shared" si="61"/>
        <v>1319.78</v>
      </c>
    </row>
    <row r="1979" spans="1:9" x14ac:dyDescent="0.2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 s="1">
        <f t="shared" si="60"/>
        <v>7999.9299999999994</v>
      </c>
      <c r="H1979" s="1" t="str">
        <f>_xlfn.XLOOKUP(C1979,Product!A:A,Product!B:B,"not found",0)</f>
        <v>Trek Slash 8 27.5 - 2016</v>
      </c>
      <c r="I1979" s="1">
        <f t="shared" si="61"/>
        <v>7999.9299999999994</v>
      </c>
    </row>
    <row r="1980" spans="1:9" x14ac:dyDescent="0.2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 s="1">
        <f t="shared" si="60"/>
        <v>3499.79</v>
      </c>
      <c r="H1980" s="1" t="str">
        <f>_xlfn.XLOOKUP(C1980,Product!A:A,Product!B:B,"not found",0)</f>
        <v>Trek Boone Race Shop Limited - 2017</v>
      </c>
      <c r="I1980" s="1">
        <f t="shared" si="61"/>
        <v>3499.79</v>
      </c>
    </row>
    <row r="1981" spans="1:9" x14ac:dyDescent="0.2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 s="1">
        <f t="shared" si="60"/>
        <v>109.94</v>
      </c>
      <c r="H1981" s="1" t="str">
        <f>_xlfn.XLOOKUP(C1981,Product!A:A,Product!B:B,"not found",0)</f>
        <v>Sun Bicycles Lil Kitt'n - 2017</v>
      </c>
      <c r="I1981" s="1">
        <f t="shared" si="61"/>
        <v>109.94</v>
      </c>
    </row>
    <row r="1982" spans="1:9" x14ac:dyDescent="0.2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 s="1">
        <f t="shared" si="60"/>
        <v>999.93000000000006</v>
      </c>
      <c r="H1982" s="1" t="str">
        <f>_xlfn.XLOOKUP(C1982,Product!A:A,Product!B:B,"not found",0)</f>
        <v>Electra Townie Original 7D - 2015/2016</v>
      </c>
      <c r="I1982" s="1">
        <f t="shared" si="61"/>
        <v>999.93000000000006</v>
      </c>
    </row>
    <row r="1983" spans="1:9" x14ac:dyDescent="0.2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 s="1">
        <f t="shared" si="60"/>
        <v>481.89</v>
      </c>
      <c r="H1983" s="1" t="str">
        <f>_xlfn.XLOOKUP(C1983,Product!A:A,Product!B:B,"not found",0)</f>
        <v>Sun Bicycles Streamway - 2017</v>
      </c>
      <c r="I1983" s="1">
        <f t="shared" si="61"/>
        <v>481.89</v>
      </c>
    </row>
    <row r="1984" spans="1:9" x14ac:dyDescent="0.2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 s="1">
        <f t="shared" si="60"/>
        <v>1999.91</v>
      </c>
      <c r="H1984" s="1" t="str">
        <f>_xlfn.XLOOKUP(C1984,Product!A:A,Product!B:B,"not found",0)</f>
        <v>Surly Wednesday Frameset - 2016</v>
      </c>
      <c r="I1984" s="1">
        <f t="shared" si="61"/>
        <v>1999.91</v>
      </c>
    </row>
    <row r="1985" spans="1:9" x14ac:dyDescent="0.2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 s="1">
        <f t="shared" si="60"/>
        <v>1739.78</v>
      </c>
      <c r="H1985" s="1" t="str">
        <f>_xlfn.XLOOKUP(C1985,Product!A:A,Product!B:B,"not found",0)</f>
        <v>Haro SR 1.2 - 2017</v>
      </c>
      <c r="I1985" s="1">
        <f t="shared" si="61"/>
        <v>1739.78</v>
      </c>
    </row>
    <row r="1986" spans="1:9" x14ac:dyDescent="0.2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 s="1">
        <f t="shared" si="60"/>
        <v>501.93</v>
      </c>
      <c r="H1986" s="1" t="str">
        <f>_xlfn.XLOOKUP(C1986,Product!A:A,Product!B:B,"not found",0)</f>
        <v>Sun Bicycles Revolutions 24 - 2017</v>
      </c>
      <c r="I1986" s="1">
        <f t="shared" si="61"/>
        <v>501.93</v>
      </c>
    </row>
    <row r="1987" spans="1:9" x14ac:dyDescent="0.2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 s="1">
        <f t="shared" ref="G1987:G2050" si="62">(E1987*D1987)-F1987</f>
        <v>619.79</v>
      </c>
      <c r="H1987" s="1" t="str">
        <f>_xlfn.XLOOKUP(C1987,Product!A:A,Product!B:B,"not found",0)</f>
        <v>Sun Bicycles Biscayne Tandem 7 - 2017</v>
      </c>
      <c r="I1987" s="1">
        <f t="shared" ref="I1987:I2050" si="63">(D1987*E1987)-F1987</f>
        <v>619.79</v>
      </c>
    </row>
    <row r="1988" spans="1:9" x14ac:dyDescent="0.2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 s="1">
        <f t="shared" si="62"/>
        <v>5799.78</v>
      </c>
      <c r="H1988" s="1" t="str">
        <f>_xlfn.XLOOKUP(C1988,Product!A:A,Product!B:B,"not found",0)</f>
        <v>Trek Fuel EX 8 29 - 2016</v>
      </c>
      <c r="I1988" s="1">
        <f t="shared" si="63"/>
        <v>5799.78</v>
      </c>
    </row>
    <row r="1989" spans="1:9" x14ac:dyDescent="0.2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 s="1">
        <f t="shared" si="62"/>
        <v>3097.95</v>
      </c>
      <c r="H1989" s="1" t="str">
        <f>_xlfn.XLOOKUP(C1989,Product!A:A,Product!B:B,"not found",0)</f>
        <v>Surly Straggler - 2016</v>
      </c>
      <c r="I1989" s="1">
        <f t="shared" si="63"/>
        <v>3097.95</v>
      </c>
    </row>
    <row r="1990" spans="1:9" x14ac:dyDescent="0.2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 s="1">
        <f t="shared" si="62"/>
        <v>3499.79</v>
      </c>
      <c r="H1990" s="1" t="str">
        <f>_xlfn.XLOOKUP(C1990,Product!A:A,Product!B:B,"not found",0)</f>
        <v>Trek Boone 7 - 2017</v>
      </c>
      <c r="I1990" s="1">
        <f t="shared" si="63"/>
        <v>3499.79</v>
      </c>
    </row>
    <row r="1991" spans="1:9" x14ac:dyDescent="0.2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 s="1">
        <f t="shared" si="62"/>
        <v>979.91</v>
      </c>
      <c r="H1991" s="1" t="str">
        <f>_xlfn.XLOOKUP(C1991,Product!A:A,Product!B:B,"not found",0)</f>
        <v>Electra Townie 3i EQ (20-inch) - Boys' - 2017</v>
      </c>
      <c r="I1991" s="1">
        <f t="shared" si="63"/>
        <v>979.91</v>
      </c>
    </row>
    <row r="1992" spans="1:9" x14ac:dyDescent="0.2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 s="1">
        <f t="shared" si="62"/>
        <v>4999.8899999999994</v>
      </c>
      <c r="H1992" s="1" t="str">
        <f>_xlfn.XLOOKUP(C1992,Product!A:A,Product!B:B,"not found",0)</f>
        <v>Trek Powerfly 8 FS Plus - 2017</v>
      </c>
      <c r="I1992" s="1">
        <f t="shared" si="63"/>
        <v>4999.8899999999994</v>
      </c>
    </row>
    <row r="1993" spans="1:9" x14ac:dyDescent="0.2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 s="1">
        <f t="shared" si="62"/>
        <v>999.89</v>
      </c>
      <c r="H1993" s="1" t="str">
        <f>_xlfn.XLOOKUP(C1993,Product!A:A,Product!B:B,"not found",0)</f>
        <v>Surly Big Dummy Frameset - 2017</v>
      </c>
      <c r="I1993" s="1">
        <f t="shared" si="63"/>
        <v>999.89</v>
      </c>
    </row>
    <row r="1994" spans="1:9" x14ac:dyDescent="0.2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 s="1">
        <f t="shared" si="62"/>
        <v>599.93000000000006</v>
      </c>
      <c r="H1994" s="1" t="str">
        <f>_xlfn.XLOOKUP(C1994,Product!A:A,Product!B:B,"not found",0)</f>
        <v>Electra Girl's Hawaii 1 (20-inch) - 2015/2016</v>
      </c>
      <c r="I1994" s="1">
        <f t="shared" si="63"/>
        <v>599.93000000000006</v>
      </c>
    </row>
    <row r="1995" spans="1:9" x14ac:dyDescent="0.2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 s="1">
        <f t="shared" si="62"/>
        <v>1559.79</v>
      </c>
      <c r="H1995" s="1" t="str">
        <f>_xlfn.XLOOKUP(C1995,Product!A:A,Product!B:B,"not found",0)</f>
        <v>Sun Bicycles ElectroLite - 2017</v>
      </c>
      <c r="I1995" s="1">
        <f t="shared" si="63"/>
        <v>1559.79</v>
      </c>
    </row>
    <row r="1996" spans="1:9" x14ac:dyDescent="0.2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 s="1">
        <f t="shared" si="62"/>
        <v>899.93000000000006</v>
      </c>
      <c r="H1996" s="1" t="str">
        <f>_xlfn.XLOOKUP(C1996,Product!A:A,Product!B:B,"not found",0)</f>
        <v>Sun Bicycles Cruz 3 - 2017</v>
      </c>
      <c r="I1996" s="1">
        <f t="shared" si="63"/>
        <v>899.93000000000006</v>
      </c>
    </row>
    <row r="1997" spans="1:9" x14ac:dyDescent="0.2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 s="1">
        <f t="shared" si="62"/>
        <v>489.92</v>
      </c>
      <c r="H1997" s="1" t="str">
        <f>_xlfn.XLOOKUP(C1997,Product!A:A,Product!B:B,"not found",0)</f>
        <v>Electra Townie 3i EQ (20-inch) - Boys' - 2017</v>
      </c>
      <c r="I1997" s="1">
        <f t="shared" si="63"/>
        <v>489.92</v>
      </c>
    </row>
    <row r="1998" spans="1:9" x14ac:dyDescent="0.2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 s="1">
        <f t="shared" si="62"/>
        <v>3361.88</v>
      </c>
      <c r="H1998" s="1" t="str">
        <f>_xlfn.XLOOKUP(C1998,Product!A:A,Product!B:B,"not found",0)</f>
        <v>Surly Straggler 650b - 2016</v>
      </c>
      <c r="I1998" s="1">
        <f t="shared" si="63"/>
        <v>3361.88</v>
      </c>
    </row>
    <row r="1999" spans="1:9" x14ac:dyDescent="0.2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 s="1">
        <f t="shared" si="62"/>
        <v>1199.8800000000001</v>
      </c>
      <c r="H1999" s="1" t="str">
        <f>_xlfn.XLOOKUP(C1999,Product!A:A,Product!B:B,"not found",0)</f>
        <v>Electra Townie Original 7D EQ - 2016</v>
      </c>
      <c r="I1999" s="1">
        <f t="shared" si="63"/>
        <v>1199.8800000000001</v>
      </c>
    </row>
    <row r="2000" spans="1:9" x14ac:dyDescent="0.2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 s="1">
        <f t="shared" si="62"/>
        <v>469.92</v>
      </c>
      <c r="H2000" s="1" t="str">
        <f>_xlfn.XLOOKUP(C2000,Product!A:A,Product!B:B,"not found",0)</f>
        <v>Surly Ice Cream Truck Frameset - 2016</v>
      </c>
      <c r="I2000" s="1">
        <f t="shared" si="63"/>
        <v>469.92</v>
      </c>
    </row>
    <row r="2001" spans="1:9" x14ac:dyDescent="0.2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 s="1">
        <f t="shared" si="62"/>
        <v>5299.8899999999994</v>
      </c>
      <c r="H2001" s="1" t="str">
        <f>_xlfn.XLOOKUP(C2001,Product!A:A,Product!B:B,"not found",0)</f>
        <v>Trek Remedy 9.8 - 2017</v>
      </c>
      <c r="I2001" s="1">
        <f t="shared" si="63"/>
        <v>5299.8899999999994</v>
      </c>
    </row>
    <row r="2002" spans="1:9" x14ac:dyDescent="0.2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 s="1">
        <f t="shared" si="62"/>
        <v>939.78</v>
      </c>
      <c r="H2002" s="1" t="str">
        <f>_xlfn.XLOOKUP(C2002,Product!A:A,Product!B:B,"not found",0)</f>
        <v>Trek Session DH 27.5 Carbon Frameset - 2017</v>
      </c>
      <c r="I2002" s="1">
        <f t="shared" si="63"/>
        <v>939.78</v>
      </c>
    </row>
    <row r="2003" spans="1:9" x14ac:dyDescent="0.2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 s="1">
        <f t="shared" si="62"/>
        <v>5399.9299999999994</v>
      </c>
      <c r="H2003" s="1" t="str">
        <f>_xlfn.XLOOKUP(C2003,Product!A:A,Product!B:B,"not found",0)</f>
        <v>Trek Domane S 6 - 2017</v>
      </c>
      <c r="I2003" s="1">
        <f t="shared" si="63"/>
        <v>5399.9299999999994</v>
      </c>
    </row>
    <row r="2004" spans="1:9" x14ac:dyDescent="0.2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 s="1">
        <f t="shared" si="62"/>
        <v>679.91</v>
      </c>
      <c r="H2004" s="1" t="str">
        <f>_xlfn.XLOOKUP(C2004,Product!A:A,Product!B:B,"not found",0)</f>
        <v>Electra Townie 7D (20-inch) - Boys' - 2017</v>
      </c>
      <c r="I2004" s="1">
        <f t="shared" si="63"/>
        <v>679.91</v>
      </c>
    </row>
    <row r="2005" spans="1:9" x14ac:dyDescent="0.2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 s="1">
        <f t="shared" si="62"/>
        <v>1499.92</v>
      </c>
      <c r="H2005" s="1" t="str">
        <f>_xlfn.XLOOKUP(C2005,Product!A:A,Product!B:B,"not found",0)</f>
        <v>Trek Emonda S 4 - 2017</v>
      </c>
      <c r="I2005" s="1">
        <f t="shared" si="63"/>
        <v>1499.92</v>
      </c>
    </row>
    <row r="2006" spans="1:9" x14ac:dyDescent="0.2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 s="1">
        <f t="shared" si="62"/>
        <v>2299.9399999999996</v>
      </c>
      <c r="H2006" s="1" t="str">
        <f>_xlfn.XLOOKUP(C2006,Product!A:A,Product!B:B,"not found",0)</f>
        <v>Trek Fuel EX 5 27.5 Plus - 2017</v>
      </c>
      <c r="I2006" s="1">
        <f t="shared" si="63"/>
        <v>2299.9399999999996</v>
      </c>
    </row>
    <row r="2007" spans="1:9" x14ac:dyDescent="0.2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 s="1">
        <f t="shared" si="62"/>
        <v>3119.78</v>
      </c>
      <c r="H2007" s="1" t="str">
        <f>_xlfn.XLOOKUP(C2007,Product!A:A,Product!B:B,"not found",0)</f>
        <v>Sun Bicycles ElectroLite - 2017</v>
      </c>
      <c r="I2007" s="1">
        <f t="shared" si="63"/>
        <v>3119.78</v>
      </c>
    </row>
    <row r="2008" spans="1:9" x14ac:dyDescent="0.2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 s="1">
        <f t="shared" si="62"/>
        <v>2999.78</v>
      </c>
      <c r="H2008" s="1" t="str">
        <f>_xlfn.XLOOKUP(C2008,Product!A:A,Product!B:B,"not found",0)</f>
        <v>Trek Stache 5 - 2017</v>
      </c>
      <c r="I2008" s="1">
        <f t="shared" si="63"/>
        <v>2999.78</v>
      </c>
    </row>
    <row r="2009" spans="1:9" x14ac:dyDescent="0.2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 s="1">
        <f t="shared" si="62"/>
        <v>1999.79</v>
      </c>
      <c r="H2009" s="1" t="str">
        <f>_xlfn.XLOOKUP(C2009,Product!A:A,Product!B:B,"not found",0)</f>
        <v>Trek Emonda S 5 - 2017</v>
      </c>
      <c r="I2009" s="1">
        <f t="shared" si="63"/>
        <v>1999.79</v>
      </c>
    </row>
    <row r="2010" spans="1:9" x14ac:dyDescent="0.2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 s="1">
        <f t="shared" si="62"/>
        <v>2499.9399999999996</v>
      </c>
      <c r="H2010" s="1" t="str">
        <f>_xlfn.XLOOKUP(C2010,Product!A:A,Product!B:B,"not found",0)</f>
        <v>Surly Karate Monkey 27.5+ Frameset - 2017</v>
      </c>
      <c r="I2010" s="1">
        <f t="shared" si="63"/>
        <v>2499.9399999999996</v>
      </c>
    </row>
    <row r="2011" spans="1:9" x14ac:dyDescent="0.2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 s="1">
        <f t="shared" si="62"/>
        <v>2641.93</v>
      </c>
      <c r="H2011" s="1" t="str">
        <f>_xlfn.XLOOKUP(C2011,Product!A:A,Product!B:B,"not found",0)</f>
        <v>Heller Shagamaw Frame - 2016</v>
      </c>
      <c r="I2011" s="1">
        <f t="shared" si="63"/>
        <v>2641.93</v>
      </c>
    </row>
    <row r="2012" spans="1:9" x14ac:dyDescent="0.2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 s="1">
        <f t="shared" si="62"/>
        <v>599.78</v>
      </c>
      <c r="H2012" s="1" t="str">
        <f>_xlfn.XLOOKUP(C2012,Product!A:A,Product!B:B,"not found",0)</f>
        <v>Electra Girl's Hawaii 1 16" - 2017</v>
      </c>
      <c r="I2012" s="1">
        <f t="shared" si="63"/>
        <v>599.78</v>
      </c>
    </row>
    <row r="2013" spans="1:9" x14ac:dyDescent="0.2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 s="1">
        <f t="shared" si="62"/>
        <v>1239.93</v>
      </c>
      <c r="H2013" s="1" t="str">
        <f>_xlfn.XLOOKUP(C2013,Product!A:A,Product!B:B,"not found",0)</f>
        <v>Sun Bicycles Biscayne Tandem 7 - 2017</v>
      </c>
      <c r="I2013" s="1">
        <f t="shared" si="63"/>
        <v>1239.93</v>
      </c>
    </row>
    <row r="2014" spans="1:9" x14ac:dyDescent="0.2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 s="1">
        <f t="shared" si="62"/>
        <v>1079.78</v>
      </c>
      <c r="H2014" s="1" t="str">
        <f>_xlfn.XLOOKUP(C2014,Product!A:A,Product!B:B,"not found",0)</f>
        <v>Haro SR 1.1 - 2017</v>
      </c>
      <c r="I2014" s="1">
        <f t="shared" si="63"/>
        <v>1079.78</v>
      </c>
    </row>
    <row r="2015" spans="1:9" x14ac:dyDescent="0.2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 s="1">
        <f t="shared" si="62"/>
        <v>879.88</v>
      </c>
      <c r="H2015" s="1" t="str">
        <f>_xlfn.XLOOKUP(C2015,Product!A:A,Product!B:B,"not found",0)</f>
        <v>Electra Cruiser Lux 1 - 2017</v>
      </c>
      <c r="I2015" s="1">
        <f t="shared" si="63"/>
        <v>879.88</v>
      </c>
    </row>
    <row r="2016" spans="1:9" x14ac:dyDescent="0.2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 s="1">
        <f t="shared" si="62"/>
        <v>832.79</v>
      </c>
      <c r="H2016" s="1" t="str">
        <f>_xlfn.XLOOKUP(C2016,Product!A:A,Product!B:B,"not found",0)</f>
        <v>Sun Bicycles Spider 3i - 2017</v>
      </c>
      <c r="I2016" s="1">
        <f t="shared" si="63"/>
        <v>832.79</v>
      </c>
    </row>
    <row r="2017" spans="1:9" x14ac:dyDescent="0.2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 s="1">
        <f t="shared" si="62"/>
        <v>299.79000000000002</v>
      </c>
      <c r="H2017" s="1" t="str">
        <f>_xlfn.XLOOKUP(C2017,Product!A:A,Product!B:B,"not found",0)</f>
        <v>Electra Girl's Hawaii 1 16" - 2017</v>
      </c>
      <c r="I2017" s="1">
        <f t="shared" si="63"/>
        <v>299.79000000000002</v>
      </c>
    </row>
    <row r="2018" spans="1:9" x14ac:dyDescent="0.2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 s="1">
        <f t="shared" si="62"/>
        <v>5799.9299999999994</v>
      </c>
      <c r="H2018" s="1" t="str">
        <f>_xlfn.XLOOKUP(C2018,Product!A:A,Product!B:B,"not found",0)</f>
        <v>Trek Fuel EX 8 29 - 2016</v>
      </c>
      <c r="I2018" s="1">
        <f t="shared" si="63"/>
        <v>5799.9299999999994</v>
      </c>
    </row>
    <row r="2019" spans="1:9" x14ac:dyDescent="0.2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 s="1">
        <f t="shared" si="62"/>
        <v>419.78000000000003</v>
      </c>
      <c r="H2019" s="1" t="str">
        <f>_xlfn.XLOOKUP(C2019,Product!A:A,Product!B:B,"not found",0)</f>
        <v>Haro Shredder 20 Girls - 2017</v>
      </c>
      <c r="I2019" s="1">
        <f t="shared" si="63"/>
        <v>419.78000000000003</v>
      </c>
    </row>
    <row r="2020" spans="1:9" x14ac:dyDescent="0.2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 s="1">
        <f t="shared" si="62"/>
        <v>699.88</v>
      </c>
      <c r="H2020" s="1" t="str">
        <f>_xlfn.XLOOKUP(C2020,Product!A:A,Product!B:B,"not found",0)</f>
        <v>Electra Savannah 3i (20-inch) - Girl's - 2017</v>
      </c>
      <c r="I2020" s="1">
        <f t="shared" si="63"/>
        <v>699.88</v>
      </c>
    </row>
    <row r="2021" spans="1:9" x14ac:dyDescent="0.2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 s="1">
        <f t="shared" si="62"/>
        <v>749.92</v>
      </c>
      <c r="H2021" s="1" t="str">
        <f>_xlfn.XLOOKUP(C2021,Product!A:A,Product!B:B,"not found",0)</f>
        <v>Surly Ogre Frameset - 2017</v>
      </c>
      <c r="I2021" s="1">
        <f t="shared" si="63"/>
        <v>749.92</v>
      </c>
    </row>
    <row r="2022" spans="1:9" x14ac:dyDescent="0.2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 s="1">
        <f t="shared" si="62"/>
        <v>899.91</v>
      </c>
      <c r="H2022" s="1" t="str">
        <f>_xlfn.XLOOKUP(C2022,Product!A:A,Product!B:B,"not found",0)</f>
        <v>Sun Bicycles Cruz 3 - Women's - 2017</v>
      </c>
      <c r="I2022" s="1">
        <f t="shared" si="63"/>
        <v>899.91</v>
      </c>
    </row>
    <row r="2023" spans="1:9" x14ac:dyDescent="0.2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 s="1">
        <f t="shared" si="62"/>
        <v>419.78000000000003</v>
      </c>
      <c r="H2023" s="1" t="str">
        <f>_xlfn.XLOOKUP(C2023,Product!A:A,Product!B:B,"not found",0)</f>
        <v>Haro Shredder 20 - 2017</v>
      </c>
      <c r="I2023" s="1">
        <f t="shared" si="63"/>
        <v>419.78000000000003</v>
      </c>
    </row>
    <row r="2024" spans="1:9" x14ac:dyDescent="0.2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 s="1">
        <f t="shared" si="62"/>
        <v>9999.8799999999992</v>
      </c>
      <c r="H2024" s="1" t="str">
        <f>_xlfn.XLOOKUP(C2024,Product!A:A,Product!B:B,"not found",0)</f>
        <v>Trek Powerfly 8 FS Plus - 2017</v>
      </c>
      <c r="I2024" s="1">
        <f t="shared" si="63"/>
        <v>9999.8799999999992</v>
      </c>
    </row>
    <row r="2025" spans="1:9" x14ac:dyDescent="0.2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 s="1">
        <f t="shared" si="62"/>
        <v>5999.79</v>
      </c>
      <c r="H2025" s="1" t="str">
        <f>_xlfn.XLOOKUP(C2025,Product!A:A,Product!B:B,"not found",0)</f>
        <v>Trek Silque SLR 7 Women's - 2017</v>
      </c>
      <c r="I2025" s="1">
        <f t="shared" si="63"/>
        <v>5999.79</v>
      </c>
    </row>
    <row r="2026" spans="1:9" x14ac:dyDescent="0.2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 s="1">
        <f t="shared" si="62"/>
        <v>941.88</v>
      </c>
      <c r="H2026" s="1" t="str">
        <f>_xlfn.XLOOKUP(C2026,Product!A:A,Product!B:B,"not found",0)</f>
        <v>Sun Bicycles Drifter 7 - Women's - 2017</v>
      </c>
      <c r="I2026" s="1">
        <f t="shared" si="63"/>
        <v>941.88</v>
      </c>
    </row>
    <row r="2027" spans="1:9" x14ac:dyDescent="0.2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 s="1">
        <f t="shared" si="62"/>
        <v>419.91</v>
      </c>
      <c r="H2027" s="1" t="str">
        <f>_xlfn.XLOOKUP(C2027,Product!A:A,Product!B:B,"not found",0)</f>
        <v>Haro Shredder 20 Girls - 2017</v>
      </c>
      <c r="I2027" s="1">
        <f t="shared" si="63"/>
        <v>419.91</v>
      </c>
    </row>
    <row r="2028" spans="1:9" x14ac:dyDescent="0.2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 s="1">
        <f t="shared" si="62"/>
        <v>402.89</v>
      </c>
      <c r="H2028" s="1" t="str">
        <f>_xlfn.XLOOKUP(C2028,Product!A:A,Product!B:B,"not found",0)</f>
        <v>Sun Bicycles Boardwalk (24-inch Wheels) - 2017</v>
      </c>
      <c r="I2028" s="1">
        <f t="shared" si="63"/>
        <v>402.89</v>
      </c>
    </row>
    <row r="2029" spans="1:9" x14ac:dyDescent="0.2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 s="1">
        <f t="shared" si="62"/>
        <v>5799.9299999999994</v>
      </c>
      <c r="H2029" s="1" t="str">
        <f>_xlfn.XLOOKUP(C2029,Product!A:A,Product!B:B,"not found",0)</f>
        <v>Trek Fuel EX 8 29 - 2016</v>
      </c>
      <c r="I2029" s="1">
        <f t="shared" si="63"/>
        <v>5799.9299999999994</v>
      </c>
    </row>
    <row r="2030" spans="1:9" x14ac:dyDescent="0.2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 s="1">
        <f t="shared" si="62"/>
        <v>10999.93</v>
      </c>
      <c r="H2030" s="1" t="str">
        <f>_xlfn.XLOOKUP(C2030,Product!A:A,Product!B:B,"not found",0)</f>
        <v>Trek Domane SLR 6 Disc - 2017</v>
      </c>
      <c r="I2030" s="1">
        <f t="shared" si="63"/>
        <v>10999.93</v>
      </c>
    </row>
    <row r="2031" spans="1:9" x14ac:dyDescent="0.2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 s="1">
        <f t="shared" si="62"/>
        <v>209.79000000000002</v>
      </c>
      <c r="H2031" s="1" t="str">
        <f>_xlfn.XLOOKUP(C2031,Product!A:A,Product!B:B,"not found",0)</f>
        <v>Haro Shredder 20 Girls - 2017</v>
      </c>
      <c r="I2031" s="1">
        <f t="shared" si="63"/>
        <v>209.79000000000002</v>
      </c>
    </row>
    <row r="2032" spans="1:9" x14ac:dyDescent="0.2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 s="1">
        <f t="shared" si="62"/>
        <v>419.91</v>
      </c>
      <c r="H2032" s="1" t="str">
        <f>_xlfn.XLOOKUP(C2032,Product!A:A,Product!B:B,"not found",0)</f>
        <v>Haro Shredder 20 - 2017</v>
      </c>
      <c r="I2032" s="1">
        <f t="shared" si="63"/>
        <v>419.91</v>
      </c>
    </row>
    <row r="2033" spans="1:9" x14ac:dyDescent="0.2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 s="1">
        <f t="shared" si="62"/>
        <v>9999.91</v>
      </c>
      <c r="H2033" s="1" t="str">
        <f>_xlfn.XLOOKUP(C2033,Product!A:A,Product!B:B,"not found",0)</f>
        <v>Trek Fuel EX 9.8 29 - 2017</v>
      </c>
      <c r="I2033" s="1">
        <f t="shared" si="63"/>
        <v>9999.91</v>
      </c>
    </row>
    <row r="2034" spans="1:9" x14ac:dyDescent="0.2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 s="1">
        <f t="shared" si="62"/>
        <v>979.88</v>
      </c>
      <c r="H2034" s="1" t="str">
        <f>_xlfn.XLOOKUP(C2034,Product!A:A,Product!B:B,"not found",0)</f>
        <v>Electra Townie Original 7D - 2017</v>
      </c>
      <c r="I2034" s="1">
        <f t="shared" si="63"/>
        <v>979.88</v>
      </c>
    </row>
    <row r="2035" spans="1:9" x14ac:dyDescent="0.2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 s="1">
        <f t="shared" si="62"/>
        <v>489.79</v>
      </c>
      <c r="H2035" s="1" t="str">
        <f>_xlfn.XLOOKUP(C2035,Product!A:A,Product!B:B,"not found",0)</f>
        <v>Electra Townie 3i EQ (20-inch) - Boys' - 2017</v>
      </c>
      <c r="I2035" s="1">
        <f t="shared" si="63"/>
        <v>489.79</v>
      </c>
    </row>
    <row r="2036" spans="1:9" x14ac:dyDescent="0.2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 s="1">
        <f t="shared" si="62"/>
        <v>470.92</v>
      </c>
      <c r="H2036" s="1" t="str">
        <f>_xlfn.XLOOKUP(C2036,Product!A:A,Product!B:B,"not found",0)</f>
        <v>Sun Bicycles Drifter 7 - Women's - 2017</v>
      </c>
      <c r="I2036" s="1">
        <f t="shared" si="63"/>
        <v>470.92</v>
      </c>
    </row>
    <row r="2037" spans="1:9" x14ac:dyDescent="0.2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 s="1">
        <f t="shared" si="62"/>
        <v>469.89</v>
      </c>
      <c r="H2037" s="1" t="str">
        <f>_xlfn.XLOOKUP(C2037,Product!A:A,Product!B:B,"not found",0)</f>
        <v>Surly Ice Cream Truck Frameset - 2016</v>
      </c>
      <c r="I2037" s="1">
        <f t="shared" si="63"/>
        <v>469.89</v>
      </c>
    </row>
    <row r="2038" spans="1:9" x14ac:dyDescent="0.2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 s="1">
        <f t="shared" si="62"/>
        <v>1739.91</v>
      </c>
      <c r="H2038" s="1" t="str">
        <f>_xlfn.XLOOKUP(C2038,Product!A:A,Product!B:B,"not found",0)</f>
        <v>Haro SR 1.2 - 2017</v>
      </c>
      <c r="I2038" s="1">
        <f t="shared" si="63"/>
        <v>1739.91</v>
      </c>
    </row>
    <row r="2039" spans="1:9" x14ac:dyDescent="0.2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 s="1">
        <f t="shared" si="62"/>
        <v>489.89</v>
      </c>
      <c r="H2039" s="1" t="str">
        <f>_xlfn.XLOOKUP(C2039,Product!A:A,Product!B:B,"not found",0)</f>
        <v>Electra Townie Original 7D - 2017</v>
      </c>
      <c r="I2039" s="1">
        <f t="shared" si="63"/>
        <v>489.89</v>
      </c>
    </row>
    <row r="2040" spans="1:9" x14ac:dyDescent="0.2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 s="1">
        <f t="shared" si="62"/>
        <v>1499.93</v>
      </c>
      <c r="H2040" s="1" t="str">
        <f>_xlfn.XLOOKUP(C2040,Product!A:A,Product!B:B,"not found",0)</f>
        <v>Sun Bicycles Brickell Tandem 7 - 2017</v>
      </c>
      <c r="I2040" s="1">
        <f t="shared" si="63"/>
        <v>1499.93</v>
      </c>
    </row>
    <row r="2041" spans="1:9" x14ac:dyDescent="0.2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 s="1">
        <f t="shared" si="62"/>
        <v>469.79</v>
      </c>
      <c r="H2041" s="1" t="str">
        <f>_xlfn.XLOOKUP(C2041,Product!A:A,Product!B:B,"not found",0)</f>
        <v>Surly Wednesday Frameset - 2017</v>
      </c>
      <c r="I2041" s="1">
        <f t="shared" si="63"/>
        <v>469.79</v>
      </c>
    </row>
    <row r="2042" spans="1:9" x14ac:dyDescent="0.2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 s="1">
        <f t="shared" si="62"/>
        <v>539.91</v>
      </c>
      <c r="H2042" s="1" t="str">
        <f>_xlfn.XLOOKUP(C2042,Product!A:A,Product!B:B,"not found",0)</f>
        <v>Electra Girl's Hawaii 1 (16-inch) - 2015/2016</v>
      </c>
      <c r="I2042" s="1">
        <f t="shared" si="63"/>
        <v>539.91</v>
      </c>
    </row>
    <row r="2043" spans="1:9" x14ac:dyDescent="0.2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 s="1">
        <f t="shared" si="62"/>
        <v>999.94</v>
      </c>
      <c r="H2043" s="1" t="str">
        <f>_xlfn.XLOOKUP(C2043,Product!A:A,Product!B:B,"not found",0)</f>
        <v>Surly Wednesday Frameset - 2016</v>
      </c>
      <c r="I2043" s="1">
        <f t="shared" si="63"/>
        <v>999.94</v>
      </c>
    </row>
    <row r="2044" spans="1:9" x14ac:dyDescent="0.2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 s="1">
        <f t="shared" si="62"/>
        <v>963.88</v>
      </c>
      <c r="H2044" s="1" t="str">
        <f>_xlfn.XLOOKUP(C2044,Product!A:A,Product!B:B,"not found",0)</f>
        <v>Sun Bicycles Streamway - 2017</v>
      </c>
      <c r="I2044" s="1">
        <f t="shared" si="63"/>
        <v>963.88</v>
      </c>
    </row>
    <row r="2045" spans="1:9" x14ac:dyDescent="0.2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 s="1">
        <f t="shared" si="62"/>
        <v>1099.9100000000001</v>
      </c>
      <c r="H2045" s="1" t="str">
        <f>_xlfn.XLOOKUP(C2045,Product!A:A,Product!B:B,"not found",0)</f>
        <v>Electra Townie Original 21D - 2016</v>
      </c>
      <c r="I2045" s="1">
        <f t="shared" si="63"/>
        <v>1099.9100000000001</v>
      </c>
    </row>
    <row r="2046" spans="1:9" x14ac:dyDescent="0.2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 s="1">
        <f t="shared" si="62"/>
        <v>599.94000000000005</v>
      </c>
      <c r="H2046" s="1" t="str">
        <f>_xlfn.XLOOKUP(C2046,Product!A:A,Product!B:B,"not found",0)</f>
        <v>Electra Townie Original 7D EQ - 2016</v>
      </c>
      <c r="I2046" s="1">
        <f t="shared" si="63"/>
        <v>599.94000000000005</v>
      </c>
    </row>
    <row r="2047" spans="1:9" x14ac:dyDescent="0.2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 s="1">
        <f t="shared" si="62"/>
        <v>449.92</v>
      </c>
      <c r="H2047" s="1" t="str">
        <f>_xlfn.XLOOKUP(C2047,Product!A:A,Product!B:B,"not found",0)</f>
        <v>Sun Bicycles Cruz 3 - Women's - 2017</v>
      </c>
      <c r="I2047" s="1">
        <f t="shared" si="63"/>
        <v>449.92</v>
      </c>
    </row>
    <row r="2048" spans="1:9" x14ac:dyDescent="0.2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 s="1">
        <f t="shared" si="62"/>
        <v>299.94</v>
      </c>
      <c r="H2048" s="1" t="str">
        <f>_xlfn.XLOOKUP(C2048,Product!A:A,Product!B:B,"not found",0)</f>
        <v>Electra Girl's Hawaii 1 (20-inch) - 2015/2016</v>
      </c>
      <c r="I2048" s="1">
        <f t="shared" si="63"/>
        <v>299.94</v>
      </c>
    </row>
    <row r="2049" spans="1:9" x14ac:dyDescent="0.2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 s="1">
        <f t="shared" si="62"/>
        <v>599.79</v>
      </c>
      <c r="H2049" s="1" t="str">
        <f>_xlfn.XLOOKUP(C2049,Product!A:A,Product!B:B,"not found",0)</f>
        <v>Electra Cruiser Lux Fat Tire 1 Ladies - 2017</v>
      </c>
      <c r="I2049" s="1">
        <f t="shared" si="63"/>
        <v>599.79</v>
      </c>
    </row>
    <row r="2050" spans="1:9" x14ac:dyDescent="0.2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 s="1">
        <f t="shared" si="62"/>
        <v>489.94</v>
      </c>
      <c r="H2050" s="1" t="str">
        <f>_xlfn.XLOOKUP(C2050,Product!A:A,Product!B:B,"not found",0)</f>
        <v>Electra Townie Original 7D - 2017</v>
      </c>
      <c r="I2050" s="1">
        <f t="shared" si="63"/>
        <v>489.94</v>
      </c>
    </row>
    <row r="2051" spans="1:9" x14ac:dyDescent="0.2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 s="1">
        <f t="shared" ref="G2051:G2114" si="64">(E2051*D2051)-F2051</f>
        <v>2699.79</v>
      </c>
      <c r="H2051" s="1" t="str">
        <f>_xlfn.XLOOKUP(C2051,Product!A:A,Product!B:B,"not found",0)</f>
        <v>Trek Domane S 6 - 2017</v>
      </c>
      <c r="I2051" s="1">
        <f t="shared" ref="I2051:I2114" si="65">(D2051*E2051)-F2051</f>
        <v>2699.79</v>
      </c>
    </row>
    <row r="2052" spans="1:9" x14ac:dyDescent="0.2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 s="1">
        <f t="shared" si="64"/>
        <v>209.89000000000001</v>
      </c>
      <c r="H2052" s="1" t="str">
        <f>_xlfn.XLOOKUP(C2052,Product!A:A,Product!B:B,"not found",0)</f>
        <v>Trek Precaliber 16 Girls - 2017</v>
      </c>
      <c r="I2052" s="1">
        <f t="shared" si="65"/>
        <v>209.89000000000001</v>
      </c>
    </row>
    <row r="2053" spans="1:9" x14ac:dyDescent="0.2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 s="1">
        <f t="shared" si="64"/>
        <v>349.94</v>
      </c>
      <c r="H2053" s="1" t="str">
        <f>_xlfn.XLOOKUP(C2053,Product!A:A,Product!B:B,"not found",0)</f>
        <v>Trek Precaliber 24 (21-Speed) - Girls - 2017</v>
      </c>
      <c r="I2053" s="1">
        <f t="shared" si="65"/>
        <v>349.94</v>
      </c>
    </row>
    <row r="2054" spans="1:9" x14ac:dyDescent="0.2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 s="1">
        <f t="shared" si="64"/>
        <v>1599.91</v>
      </c>
      <c r="H2054" s="1" t="str">
        <f>_xlfn.XLOOKUP(C2054,Product!A:A,Product!B:B,"not found",0)</f>
        <v>Electra Glam Punk 3i Ladies' - 2017</v>
      </c>
      <c r="I2054" s="1">
        <f t="shared" si="65"/>
        <v>1599.91</v>
      </c>
    </row>
    <row r="2055" spans="1:9" x14ac:dyDescent="0.2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 s="1">
        <f t="shared" si="64"/>
        <v>6999.8799999999992</v>
      </c>
      <c r="H2055" s="1" t="str">
        <f>_xlfn.XLOOKUP(C2055,Product!A:A,Product!B:B,"not found",0)</f>
        <v>Trek Boone 7 - 2017</v>
      </c>
      <c r="I2055" s="1">
        <f t="shared" si="65"/>
        <v>6999.8799999999992</v>
      </c>
    </row>
    <row r="2056" spans="1:9" x14ac:dyDescent="0.2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 s="1">
        <f t="shared" si="64"/>
        <v>489.79</v>
      </c>
      <c r="H2056" s="1" t="str">
        <f>_xlfn.XLOOKUP(C2056,Product!A:A,Product!B:B,"not found",0)</f>
        <v>Electra Townie Original 7D - 2017</v>
      </c>
      <c r="I2056" s="1">
        <f t="shared" si="65"/>
        <v>489.79</v>
      </c>
    </row>
    <row r="2057" spans="1:9" x14ac:dyDescent="0.2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 s="1">
        <f t="shared" si="64"/>
        <v>647.91999999999996</v>
      </c>
      <c r="H2057" s="1" t="str">
        <f>_xlfn.XLOOKUP(C2057,Product!A:A,Product!B:B,"not found",0)</f>
        <v>Sun Bicycles Biscayne Tandem CB - 2017</v>
      </c>
      <c r="I2057" s="1">
        <f t="shared" si="65"/>
        <v>647.91999999999996</v>
      </c>
    </row>
    <row r="2058" spans="1:9" x14ac:dyDescent="0.2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 s="1">
        <f t="shared" si="64"/>
        <v>1319.93</v>
      </c>
      <c r="H2058" s="1" t="str">
        <f>_xlfn.XLOOKUP(C2058,Product!A:A,Product!B:B,"not found",0)</f>
        <v>Electra Amsterdam Original 3i Ladies' - 2017</v>
      </c>
      <c r="I2058" s="1">
        <f t="shared" si="65"/>
        <v>1319.93</v>
      </c>
    </row>
    <row r="2059" spans="1:9" x14ac:dyDescent="0.2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 s="1">
        <f t="shared" si="64"/>
        <v>659.94</v>
      </c>
      <c r="H2059" s="1" t="str">
        <f>_xlfn.XLOOKUP(C2059,Product!A:A,Product!B:B,"not found",0)</f>
        <v>Electra Amsterdam Original 3i - 2015/2017</v>
      </c>
      <c r="I2059" s="1">
        <f t="shared" si="65"/>
        <v>659.94</v>
      </c>
    </row>
    <row r="2060" spans="1:9" x14ac:dyDescent="0.2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 s="1">
        <f t="shared" si="64"/>
        <v>5499.8899999999994</v>
      </c>
      <c r="H2060" s="1" t="str">
        <f>_xlfn.XLOOKUP(C2060,Product!A:A,Product!B:B,"not found",0)</f>
        <v>Trek Domane SLR 6 Disc - 2017</v>
      </c>
      <c r="I2060" s="1">
        <f t="shared" si="65"/>
        <v>5499.8899999999994</v>
      </c>
    </row>
    <row r="2061" spans="1:9" x14ac:dyDescent="0.2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 s="1">
        <f t="shared" si="64"/>
        <v>349.89</v>
      </c>
      <c r="H2061" s="1" t="str">
        <f>_xlfn.XLOOKUP(C2061,Product!A:A,Product!B:B,"not found",0)</f>
        <v>Trek Precaliber 24 (21-Speed) - Girls - 2017</v>
      </c>
      <c r="I2061" s="1">
        <f t="shared" si="65"/>
        <v>349.89</v>
      </c>
    </row>
    <row r="2062" spans="1:9" x14ac:dyDescent="0.2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 s="1">
        <f t="shared" si="64"/>
        <v>4999.92</v>
      </c>
      <c r="H2062" s="1" t="str">
        <f>_xlfn.XLOOKUP(C2062,Product!A:A,Product!B:B,"not found",0)</f>
        <v>Trek Madone 9.2 - 2017</v>
      </c>
      <c r="I2062" s="1">
        <f t="shared" si="65"/>
        <v>4999.92</v>
      </c>
    </row>
    <row r="2063" spans="1:9" x14ac:dyDescent="0.2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 s="1">
        <f t="shared" si="64"/>
        <v>679.88</v>
      </c>
      <c r="H2063" s="1" t="str">
        <f>_xlfn.XLOOKUP(C2063,Product!A:A,Product!B:B,"not found",0)</f>
        <v>Electra Townie 7D (20-inch) - Boys' - 2017</v>
      </c>
      <c r="I2063" s="1">
        <f t="shared" si="65"/>
        <v>679.88</v>
      </c>
    </row>
    <row r="2064" spans="1:9" x14ac:dyDescent="0.2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 s="1">
        <f t="shared" si="64"/>
        <v>5199.9299999999994</v>
      </c>
      <c r="H2064" s="1" t="str">
        <f>_xlfn.XLOOKUP(C2064,Product!A:A,Product!B:B,"not found",0)</f>
        <v>Trek Domane S 5 Disc - 2017</v>
      </c>
      <c r="I2064" s="1">
        <f t="shared" si="65"/>
        <v>5199.9299999999994</v>
      </c>
    </row>
    <row r="2065" spans="1:9" x14ac:dyDescent="0.2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 s="1">
        <f t="shared" si="64"/>
        <v>402.89</v>
      </c>
      <c r="H2065" s="1" t="str">
        <f>_xlfn.XLOOKUP(C2065,Product!A:A,Product!B:B,"not found",0)</f>
        <v>Sun Bicycles Boardwalk (24-inch Wheels) - 2017</v>
      </c>
      <c r="I2065" s="1">
        <f t="shared" si="65"/>
        <v>402.89</v>
      </c>
    </row>
    <row r="2066" spans="1:9" x14ac:dyDescent="0.2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 s="1">
        <f t="shared" si="64"/>
        <v>699.91</v>
      </c>
      <c r="H2066" s="1" t="str">
        <f>_xlfn.XLOOKUP(C2066,Product!A:A,Product!B:B,"not found",0)</f>
        <v>Electra Moto 3i (20-inch) - Boy's - 2017</v>
      </c>
      <c r="I2066" s="1">
        <f t="shared" si="65"/>
        <v>699.91</v>
      </c>
    </row>
    <row r="2067" spans="1:9" x14ac:dyDescent="0.2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 s="1">
        <f t="shared" si="64"/>
        <v>269.89</v>
      </c>
      <c r="H2067" s="1" t="str">
        <f>_xlfn.XLOOKUP(C2067,Product!A:A,Product!B:B,"not found",0)</f>
        <v>Electra Cruiser 1 (24-Inch) - 2016</v>
      </c>
      <c r="I2067" s="1">
        <f t="shared" si="65"/>
        <v>269.89</v>
      </c>
    </row>
    <row r="2068" spans="1:9" x14ac:dyDescent="0.2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 s="1">
        <f t="shared" si="64"/>
        <v>349.94</v>
      </c>
      <c r="H2068" s="1" t="str">
        <f>_xlfn.XLOOKUP(C2068,Product!A:A,Product!B:B,"not found",0)</f>
        <v>Trek Precaliber 24 (21-Speed) - Girls - 2017</v>
      </c>
      <c r="I2068" s="1">
        <f t="shared" si="65"/>
        <v>349.94</v>
      </c>
    </row>
    <row r="2069" spans="1:9" x14ac:dyDescent="0.2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 s="1">
        <f t="shared" si="64"/>
        <v>3499.79</v>
      </c>
      <c r="H2069" s="1" t="str">
        <f>_xlfn.XLOOKUP(C2069,Product!A:A,Product!B:B,"not found",0)</f>
        <v>Trek Domane SL 6 - 2017</v>
      </c>
      <c r="I2069" s="1">
        <f t="shared" si="65"/>
        <v>3499.79</v>
      </c>
    </row>
    <row r="2070" spans="1:9" x14ac:dyDescent="0.2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 s="1">
        <f t="shared" si="64"/>
        <v>501.78000000000003</v>
      </c>
      <c r="H2070" s="1" t="str">
        <f>_xlfn.XLOOKUP(C2070,Product!A:A,Product!B:B,"not found",0)</f>
        <v>Sun Bicycles Revolutions 24 - Girl's - 2017</v>
      </c>
      <c r="I2070" s="1">
        <f t="shared" si="65"/>
        <v>501.78000000000003</v>
      </c>
    </row>
    <row r="2071" spans="1:9" x14ac:dyDescent="0.2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 s="1">
        <f t="shared" si="64"/>
        <v>999.79</v>
      </c>
      <c r="H2071" s="1" t="str">
        <f>_xlfn.XLOOKUP(C2071,Product!A:A,Product!B:B,"not found",0)</f>
        <v>Trek X-Caliber 8 - 2017</v>
      </c>
      <c r="I2071" s="1">
        <f t="shared" si="65"/>
        <v>999.79</v>
      </c>
    </row>
    <row r="2072" spans="1:9" x14ac:dyDescent="0.2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 s="1">
        <f t="shared" si="64"/>
        <v>5299.92</v>
      </c>
      <c r="H2072" s="1" t="str">
        <f>_xlfn.XLOOKUP(C2072,Product!A:A,Product!B:B,"not found",0)</f>
        <v>Trek Remedy 9.8 - 2017</v>
      </c>
      <c r="I2072" s="1">
        <f t="shared" si="65"/>
        <v>5299.92</v>
      </c>
    </row>
    <row r="2073" spans="1:9" x14ac:dyDescent="0.2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 s="1">
        <f t="shared" si="64"/>
        <v>5799.91</v>
      </c>
      <c r="H2073" s="1" t="str">
        <f>_xlfn.XLOOKUP(C2073,Product!A:A,Product!B:B,"not found",0)</f>
        <v>Trek Fuel EX 8 29 - 2016</v>
      </c>
      <c r="I2073" s="1">
        <f t="shared" si="65"/>
        <v>5799.91</v>
      </c>
    </row>
    <row r="2074" spans="1:9" x14ac:dyDescent="0.2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 s="1">
        <f t="shared" si="64"/>
        <v>109.94</v>
      </c>
      <c r="H2074" s="1" t="str">
        <f>_xlfn.XLOOKUP(C2074,Product!A:A,Product!B:B,"not found",0)</f>
        <v>Sun Bicycles Lil Kitt'n - 2017</v>
      </c>
      <c r="I2074" s="1">
        <f t="shared" si="65"/>
        <v>109.94</v>
      </c>
    </row>
    <row r="2075" spans="1:9" x14ac:dyDescent="0.2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 s="1">
        <f t="shared" si="64"/>
        <v>2699.79</v>
      </c>
      <c r="H2075" s="1" t="str">
        <f>_xlfn.XLOOKUP(C2075,Product!A:A,Product!B:B,"not found",0)</f>
        <v>Trek Domane S 6 - 2017</v>
      </c>
      <c r="I2075" s="1">
        <f t="shared" si="65"/>
        <v>2699.79</v>
      </c>
    </row>
    <row r="2076" spans="1:9" x14ac:dyDescent="0.2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 s="1">
        <f t="shared" si="64"/>
        <v>979.88</v>
      </c>
      <c r="H2076" s="1" t="str">
        <f>_xlfn.XLOOKUP(C2076,Product!A:A,Product!B:B,"not found",0)</f>
        <v>Electra Townie Original 7D - 2017</v>
      </c>
      <c r="I2076" s="1">
        <f t="shared" si="65"/>
        <v>979.88</v>
      </c>
    </row>
    <row r="2077" spans="1:9" x14ac:dyDescent="0.2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 s="1">
        <f t="shared" si="64"/>
        <v>599.79</v>
      </c>
      <c r="H2077" s="1" t="str">
        <f>_xlfn.XLOOKUP(C2077,Product!A:A,Product!B:B,"not found",0)</f>
        <v>Electra Townie Original 7D EQ - 2016</v>
      </c>
      <c r="I2077" s="1">
        <f t="shared" si="65"/>
        <v>599.79</v>
      </c>
    </row>
    <row r="2078" spans="1:9" x14ac:dyDescent="0.2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 s="1">
        <f t="shared" si="64"/>
        <v>999.94</v>
      </c>
      <c r="H2078" s="1" t="str">
        <f>_xlfn.XLOOKUP(C2078,Product!A:A,Product!B:B,"not found",0)</f>
        <v>Surly Wednesday Frameset - 2016</v>
      </c>
      <c r="I2078" s="1">
        <f t="shared" si="65"/>
        <v>999.94</v>
      </c>
    </row>
    <row r="2079" spans="1:9" x14ac:dyDescent="0.2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 s="1">
        <f t="shared" si="64"/>
        <v>219.78</v>
      </c>
      <c r="H2079" s="1" t="str">
        <f>_xlfn.XLOOKUP(C2079,Product!A:A,Product!B:B,"not found",0)</f>
        <v>Sun Bicycles Lil Kitt'n - 2017</v>
      </c>
      <c r="I2079" s="1">
        <f t="shared" si="65"/>
        <v>219.78</v>
      </c>
    </row>
    <row r="2080" spans="1:9" x14ac:dyDescent="0.2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 s="1">
        <f t="shared" si="64"/>
        <v>693.88</v>
      </c>
      <c r="H2080" s="1" t="str">
        <f>_xlfn.XLOOKUP(C2080,Product!A:A,Product!B:B,"not found",0)</f>
        <v>Sun Bicycles Lil Bolt Type-R - 2017</v>
      </c>
      <c r="I2080" s="1">
        <f t="shared" si="65"/>
        <v>693.88</v>
      </c>
    </row>
    <row r="2081" spans="1:9" x14ac:dyDescent="0.2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 s="1">
        <f t="shared" si="64"/>
        <v>833.88</v>
      </c>
      <c r="H2081" s="1" t="str">
        <f>_xlfn.XLOOKUP(C2081,Product!A:A,Product!B:B,"not found",0)</f>
        <v>Sun Bicycles Atlas X-Type - 2017</v>
      </c>
      <c r="I2081" s="1">
        <f t="shared" si="65"/>
        <v>833.88</v>
      </c>
    </row>
    <row r="2082" spans="1:9" x14ac:dyDescent="0.2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 s="1">
        <f t="shared" si="64"/>
        <v>3097.93</v>
      </c>
      <c r="H2082" s="1" t="str">
        <f>_xlfn.XLOOKUP(C2082,Product!A:A,Product!B:B,"not found",0)</f>
        <v>Surly Straggler - 2016</v>
      </c>
      <c r="I2082" s="1">
        <f t="shared" si="65"/>
        <v>3097.93</v>
      </c>
    </row>
    <row r="2083" spans="1:9" x14ac:dyDescent="0.2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 s="1">
        <f t="shared" si="64"/>
        <v>10999.93</v>
      </c>
      <c r="H2083" s="1" t="str">
        <f>_xlfn.XLOOKUP(C2083,Product!A:A,Product!B:B,"not found",0)</f>
        <v>Trek Domane SLR 6 Disc - 2017</v>
      </c>
      <c r="I2083" s="1">
        <f t="shared" si="65"/>
        <v>10999.93</v>
      </c>
    </row>
    <row r="2084" spans="1:9" x14ac:dyDescent="0.2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 s="1">
        <f t="shared" si="64"/>
        <v>428.9</v>
      </c>
      <c r="H2084" s="1" t="str">
        <f>_xlfn.XLOOKUP(C2084,Product!A:A,Product!B:B,"not found",0)</f>
        <v>Pure Cycles Vine 8-Speed - 2016</v>
      </c>
      <c r="I2084" s="1">
        <f t="shared" si="65"/>
        <v>428.9</v>
      </c>
    </row>
    <row r="2085" spans="1:9" x14ac:dyDescent="0.2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 s="1">
        <f t="shared" si="64"/>
        <v>6999.78</v>
      </c>
      <c r="H2085" s="1" t="str">
        <f>_xlfn.XLOOKUP(C2085,Product!A:A,Product!B:B,"not found",0)</f>
        <v>Trek Boone 7 - 2017</v>
      </c>
      <c r="I2085" s="1">
        <f t="shared" si="65"/>
        <v>6999.78</v>
      </c>
    </row>
    <row r="2086" spans="1:9" x14ac:dyDescent="0.2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 s="1">
        <f t="shared" si="64"/>
        <v>875.94</v>
      </c>
      <c r="H2086" s="1" t="str">
        <f>_xlfn.XLOOKUP(C2086,Product!A:A,Product!B:B,"not found",0)</f>
        <v>Surly Steamroller - 2017</v>
      </c>
      <c r="I2086" s="1">
        <f t="shared" si="65"/>
        <v>875.94</v>
      </c>
    </row>
    <row r="2087" spans="1:9" x14ac:dyDescent="0.2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 s="1">
        <f t="shared" si="64"/>
        <v>897.93</v>
      </c>
      <c r="H2087" s="1" t="str">
        <f>_xlfn.XLOOKUP(C2087,Product!A:A,Product!B:B,"not found",0)</f>
        <v>Pure Cycles William 3-Speed - 2016</v>
      </c>
      <c r="I2087" s="1">
        <f t="shared" si="65"/>
        <v>897.93</v>
      </c>
    </row>
    <row r="2088" spans="1:9" x14ac:dyDescent="0.2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 s="1">
        <f t="shared" si="64"/>
        <v>1599.91</v>
      </c>
      <c r="H2088" s="1" t="str">
        <f>_xlfn.XLOOKUP(C2088,Product!A:A,Product!B:B,"not found",0)</f>
        <v>Electra Glam Punk 3i Ladies' - 2017</v>
      </c>
      <c r="I2088" s="1">
        <f t="shared" si="65"/>
        <v>1599.91</v>
      </c>
    </row>
    <row r="2089" spans="1:9" x14ac:dyDescent="0.2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 s="1">
        <f t="shared" si="64"/>
        <v>469.79</v>
      </c>
      <c r="H2089" s="1" t="str">
        <f>_xlfn.XLOOKUP(C2089,Product!A:A,Product!B:B,"not found",0)</f>
        <v>Trek Session DH 27.5 Carbon Frameset - 2017</v>
      </c>
      <c r="I2089" s="1">
        <f t="shared" si="65"/>
        <v>469.79</v>
      </c>
    </row>
    <row r="2090" spans="1:9" x14ac:dyDescent="0.2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 s="1">
        <f t="shared" si="64"/>
        <v>1319.91</v>
      </c>
      <c r="H2090" s="1" t="str">
        <f>_xlfn.XLOOKUP(C2090,Product!A:A,Product!B:B,"not found",0)</f>
        <v>Electra Amsterdam Original 3i Ladies' - 2017</v>
      </c>
      <c r="I2090" s="1">
        <f t="shared" si="65"/>
        <v>1319.91</v>
      </c>
    </row>
    <row r="2091" spans="1:9" x14ac:dyDescent="0.2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 s="1">
        <f t="shared" si="64"/>
        <v>1099.78</v>
      </c>
      <c r="H2091" s="1" t="str">
        <f>_xlfn.XLOOKUP(C2091,Product!A:A,Product!B:B,"not found",0)</f>
        <v>Haro Flightline Two 26 Plus - 2017</v>
      </c>
      <c r="I2091" s="1">
        <f t="shared" si="65"/>
        <v>1099.78</v>
      </c>
    </row>
    <row r="2092" spans="1:9" x14ac:dyDescent="0.2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 s="1">
        <f t="shared" si="64"/>
        <v>499.89</v>
      </c>
      <c r="H2092" s="1" t="str">
        <f>_xlfn.XLOOKUP(C2092,Product!A:A,Product!B:B,"not found",0)</f>
        <v>Electra Townie Original 7D - 2015/2016</v>
      </c>
      <c r="I2092" s="1">
        <f t="shared" si="65"/>
        <v>499.89</v>
      </c>
    </row>
    <row r="2093" spans="1:9" x14ac:dyDescent="0.2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 s="1">
        <f t="shared" si="64"/>
        <v>3499.9199999999996</v>
      </c>
      <c r="H2093" s="1" t="str">
        <f>_xlfn.XLOOKUP(C2093,Product!A:A,Product!B:B,"not found",0)</f>
        <v>Trek Boone Race Shop Limited - 2017</v>
      </c>
      <c r="I2093" s="1">
        <f t="shared" si="65"/>
        <v>3499.9199999999996</v>
      </c>
    </row>
    <row r="2094" spans="1:9" x14ac:dyDescent="0.2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 s="1">
        <f t="shared" si="64"/>
        <v>999.79</v>
      </c>
      <c r="H2094" s="1" t="str">
        <f>_xlfn.XLOOKUP(C2094,Product!A:A,Product!B:B,"not found",0)</f>
        <v>Surly Wednesday Frameset - 2016</v>
      </c>
      <c r="I2094" s="1">
        <f t="shared" si="65"/>
        <v>999.79</v>
      </c>
    </row>
    <row r="2095" spans="1:9" x14ac:dyDescent="0.2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 s="1">
        <f t="shared" si="64"/>
        <v>1099.94</v>
      </c>
      <c r="H2095" s="1" t="str">
        <f>_xlfn.XLOOKUP(C2095,Product!A:A,Product!B:B,"not found",0)</f>
        <v>Electra Amsterdam Fashion 7i Ladies' - 2017</v>
      </c>
      <c r="I2095" s="1">
        <f t="shared" si="65"/>
        <v>1099.94</v>
      </c>
    </row>
    <row r="2096" spans="1:9" x14ac:dyDescent="0.2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 s="1">
        <f t="shared" si="64"/>
        <v>499.78000000000003</v>
      </c>
      <c r="H2096" s="1" t="str">
        <f>_xlfn.XLOOKUP(C2096,Product!A:A,Product!B:B,"not found",0)</f>
        <v>Haro Shredder Pro 20 - 2017</v>
      </c>
      <c r="I2096" s="1">
        <f t="shared" si="65"/>
        <v>499.78000000000003</v>
      </c>
    </row>
    <row r="2097" spans="1:9" x14ac:dyDescent="0.2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 s="1">
        <f t="shared" si="64"/>
        <v>1680.79</v>
      </c>
      <c r="H2097" s="1" t="str">
        <f>_xlfn.XLOOKUP(C2097,Product!A:A,Product!B:B,"not found",0)</f>
        <v>Surly Straggler 650b - 2016</v>
      </c>
      <c r="I2097" s="1">
        <f t="shared" si="65"/>
        <v>1680.79</v>
      </c>
    </row>
    <row r="2098" spans="1:9" x14ac:dyDescent="0.2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 s="1">
        <f t="shared" si="64"/>
        <v>448.8</v>
      </c>
      <c r="H2098" s="1" t="str">
        <f>_xlfn.XLOOKUP(C2098,Product!A:A,Product!B:B,"not found",0)</f>
        <v>Pure Cycles William 3-Speed - 2016</v>
      </c>
      <c r="I2098" s="1">
        <f t="shared" si="65"/>
        <v>448.8</v>
      </c>
    </row>
    <row r="2099" spans="1:9" x14ac:dyDescent="0.2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 s="1">
        <f t="shared" si="64"/>
        <v>1099.9100000000001</v>
      </c>
      <c r="H2099" s="1" t="str">
        <f>_xlfn.XLOOKUP(C2099,Product!A:A,Product!B:B,"not found",0)</f>
        <v>Electra Townie Original 21D - 2016</v>
      </c>
      <c r="I2099" s="1">
        <f t="shared" si="65"/>
        <v>1099.9100000000001</v>
      </c>
    </row>
    <row r="2100" spans="1:9" x14ac:dyDescent="0.2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 s="1">
        <f t="shared" si="64"/>
        <v>4999.9399999999996</v>
      </c>
      <c r="H2100" s="1" t="str">
        <f>_xlfn.XLOOKUP(C2100,Product!A:A,Product!B:B,"not found",0)</f>
        <v>Trek Madone 9.2 - 2017</v>
      </c>
      <c r="I2100" s="1">
        <f t="shared" si="65"/>
        <v>4999.9399999999996</v>
      </c>
    </row>
    <row r="2101" spans="1:9" x14ac:dyDescent="0.2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 s="1">
        <f t="shared" si="64"/>
        <v>299.92</v>
      </c>
      <c r="H2101" s="1" t="str">
        <f>_xlfn.XLOOKUP(C2101,Product!A:A,Product!B:B,"not found",0)</f>
        <v>Electra Girl's Hawaii 1 16" - 2017</v>
      </c>
      <c r="I2101" s="1">
        <f t="shared" si="65"/>
        <v>299.92</v>
      </c>
    </row>
    <row r="2102" spans="1:9" x14ac:dyDescent="0.2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 s="1">
        <f t="shared" si="64"/>
        <v>539.91</v>
      </c>
      <c r="H2102" s="1" t="str">
        <f>_xlfn.XLOOKUP(C2102,Product!A:A,Product!B:B,"not found",0)</f>
        <v>Electra Cruiser 1 (24-Inch) - 2016</v>
      </c>
      <c r="I2102" s="1">
        <f t="shared" si="65"/>
        <v>539.91</v>
      </c>
    </row>
    <row r="2103" spans="1:9" x14ac:dyDescent="0.2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 s="1">
        <f t="shared" si="64"/>
        <v>10999.93</v>
      </c>
      <c r="H2103" s="1" t="str">
        <f>_xlfn.XLOOKUP(C2103,Product!A:A,Product!B:B,"not found",0)</f>
        <v>Trek Domane SLR 6 Disc - 2017</v>
      </c>
      <c r="I2103" s="1">
        <f t="shared" si="65"/>
        <v>10999.93</v>
      </c>
    </row>
    <row r="2104" spans="1:9" x14ac:dyDescent="0.2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 s="1">
        <f t="shared" si="64"/>
        <v>833.93000000000006</v>
      </c>
      <c r="H2104" s="1" t="str">
        <f>_xlfn.XLOOKUP(C2104,Product!A:A,Product!B:B,"not found",0)</f>
        <v>Sun Bicycles Cruz 7 - 2017</v>
      </c>
      <c r="I2104" s="1">
        <f t="shared" si="65"/>
        <v>833.93000000000006</v>
      </c>
    </row>
    <row r="2105" spans="1:9" x14ac:dyDescent="0.2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 s="1">
        <f t="shared" si="64"/>
        <v>869.92</v>
      </c>
      <c r="H2105" s="1" t="str">
        <f>_xlfn.XLOOKUP(C2105,Product!A:A,Product!B:B,"not found",0)</f>
        <v>Haro SR 1.2 - 2017</v>
      </c>
      <c r="I2105" s="1">
        <f t="shared" si="65"/>
        <v>869.92</v>
      </c>
    </row>
    <row r="2106" spans="1:9" x14ac:dyDescent="0.2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 s="1">
        <f t="shared" si="64"/>
        <v>761.94</v>
      </c>
      <c r="H2106" s="1" t="str">
        <f>_xlfn.XLOOKUP(C2106,Product!A:A,Product!B:B,"not found",0)</f>
        <v>Sun Bicycles Brickell Tandem CB - 2017</v>
      </c>
      <c r="I2106" s="1">
        <f t="shared" si="65"/>
        <v>761.94</v>
      </c>
    </row>
    <row r="2107" spans="1:9" x14ac:dyDescent="0.2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 s="1">
        <f t="shared" si="64"/>
        <v>939.78</v>
      </c>
      <c r="H2107" s="1" t="str">
        <f>_xlfn.XLOOKUP(C2107,Product!A:A,Product!B:B,"not found",0)</f>
        <v>Surly Wednesday Frameset - 2017</v>
      </c>
      <c r="I2107" s="1">
        <f t="shared" si="65"/>
        <v>939.78</v>
      </c>
    </row>
    <row r="2108" spans="1:9" x14ac:dyDescent="0.2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 s="1">
        <f t="shared" si="64"/>
        <v>599.93000000000006</v>
      </c>
      <c r="H2108" s="1" t="str">
        <f>_xlfn.XLOOKUP(C2108,Product!A:A,Product!B:B,"not found",0)</f>
        <v>Electra Girl's Hawaii 1 16" - 2017</v>
      </c>
      <c r="I2108" s="1">
        <f t="shared" si="65"/>
        <v>599.93000000000006</v>
      </c>
    </row>
    <row r="2109" spans="1:9" x14ac:dyDescent="0.2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 s="1">
        <f t="shared" si="64"/>
        <v>539.78</v>
      </c>
      <c r="H2109" s="1" t="str">
        <f>_xlfn.XLOOKUP(C2109,Product!A:A,Product!B:B,"not found",0)</f>
        <v>Electra Girl's Hawaii 1 (16-inch) - 2015/2016</v>
      </c>
      <c r="I2109" s="1">
        <f t="shared" si="65"/>
        <v>539.78</v>
      </c>
    </row>
    <row r="2110" spans="1:9" x14ac:dyDescent="0.2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 s="1">
        <f t="shared" si="64"/>
        <v>647.89</v>
      </c>
      <c r="H2110" s="1" t="str">
        <f>_xlfn.XLOOKUP(C2110,Product!A:A,Product!B:B,"not found",0)</f>
        <v>Sun Bicycles Biscayne Tandem CB - 2017</v>
      </c>
      <c r="I2110" s="1">
        <f t="shared" si="65"/>
        <v>647.89</v>
      </c>
    </row>
    <row r="2111" spans="1:9" x14ac:dyDescent="0.2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 s="1">
        <f t="shared" si="64"/>
        <v>299.89</v>
      </c>
      <c r="H2111" s="1" t="str">
        <f>_xlfn.XLOOKUP(C2111,Product!A:A,Product!B:B,"not found",0)</f>
        <v>Electra Sugar Skulls 1 (20-inch) - Girl's - 2017</v>
      </c>
      <c r="I2111" s="1">
        <f t="shared" si="65"/>
        <v>299.89</v>
      </c>
    </row>
    <row r="2112" spans="1:9" x14ac:dyDescent="0.2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 s="1">
        <f t="shared" si="64"/>
        <v>470.92</v>
      </c>
      <c r="H2112" s="1" t="str">
        <f>_xlfn.XLOOKUP(C2112,Product!A:A,Product!B:B,"not found",0)</f>
        <v>Sun Bicycles Drifter 7 - 2017</v>
      </c>
      <c r="I2112" s="1">
        <f t="shared" si="65"/>
        <v>470.92</v>
      </c>
    </row>
    <row r="2113" spans="1:9" x14ac:dyDescent="0.2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 s="1">
        <f t="shared" si="64"/>
        <v>149.79000000000002</v>
      </c>
      <c r="H2113" s="1" t="str">
        <f>_xlfn.XLOOKUP(C2113,Product!A:A,Product!B:B,"not found",0)</f>
        <v>Trek Girl's Kickster - 2017</v>
      </c>
      <c r="I2113" s="1">
        <f t="shared" si="65"/>
        <v>149.79000000000002</v>
      </c>
    </row>
    <row r="2114" spans="1:9" x14ac:dyDescent="0.2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 s="1">
        <f t="shared" si="64"/>
        <v>939.88</v>
      </c>
      <c r="H2114" s="1" t="str">
        <f>_xlfn.XLOOKUP(C2114,Product!A:A,Product!B:B,"not found",0)</f>
        <v>Surly Wednesday Frameset - 2017</v>
      </c>
      <c r="I2114" s="1">
        <f t="shared" si="65"/>
        <v>939.88</v>
      </c>
    </row>
    <row r="2115" spans="1:9" x14ac:dyDescent="0.2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 s="1">
        <f t="shared" ref="G2115:G2178" si="66">(E2115*D2115)-F2115</f>
        <v>1099.92</v>
      </c>
      <c r="H2115" s="1" t="str">
        <f>_xlfn.XLOOKUP(C2115,Product!A:A,Product!B:B,"not found",0)</f>
        <v>Electra Amsterdam Fashion 7i Ladies' - 2017</v>
      </c>
      <c r="I2115" s="1">
        <f t="shared" ref="I2115:I2178" si="67">(D2115*E2115)-F2115</f>
        <v>1099.92</v>
      </c>
    </row>
    <row r="2116" spans="1:9" x14ac:dyDescent="0.2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 s="1">
        <f t="shared" si="66"/>
        <v>1199.8800000000001</v>
      </c>
      <c r="H2116" s="1" t="str">
        <f>_xlfn.XLOOKUP(C2116,Product!A:A,Product!B:B,"not found",0)</f>
        <v>Electra Townie Original 7D EQ - 2016</v>
      </c>
      <c r="I2116" s="1">
        <f t="shared" si="67"/>
        <v>1199.8800000000001</v>
      </c>
    </row>
    <row r="2117" spans="1:9" x14ac:dyDescent="0.2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 s="1">
        <f t="shared" si="66"/>
        <v>299.93</v>
      </c>
      <c r="H2117" s="1" t="str">
        <f>_xlfn.XLOOKUP(C2117,Product!A:A,Product!B:B,"not found",0)</f>
        <v>Trek Boy's Kickster - 2015/2017</v>
      </c>
      <c r="I2117" s="1">
        <f t="shared" si="67"/>
        <v>299.93</v>
      </c>
    </row>
    <row r="2118" spans="1:9" x14ac:dyDescent="0.2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 s="1">
        <f t="shared" si="66"/>
        <v>1469.92</v>
      </c>
      <c r="H2118" s="1" t="str">
        <f>_xlfn.XLOOKUP(C2118,Product!A:A,Product!B:B,"not found",0)</f>
        <v>Haro Shift R3 - 2017</v>
      </c>
      <c r="I2118" s="1">
        <f t="shared" si="67"/>
        <v>1469.92</v>
      </c>
    </row>
    <row r="2119" spans="1:9" x14ac:dyDescent="0.2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 s="1">
        <f t="shared" si="66"/>
        <v>1665.78</v>
      </c>
      <c r="H2119" s="1" t="str">
        <f>_xlfn.XLOOKUP(C2119,Product!A:A,Product!B:B,"not found",0)</f>
        <v>Sun Bicycles Spider 3i - 2017</v>
      </c>
      <c r="I2119" s="1">
        <f t="shared" si="67"/>
        <v>1665.78</v>
      </c>
    </row>
    <row r="2120" spans="1:9" x14ac:dyDescent="0.2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 s="1">
        <f t="shared" si="66"/>
        <v>2999.79</v>
      </c>
      <c r="H2120" s="1" t="str">
        <f>_xlfn.XLOOKUP(C2120,Product!A:A,Product!B:B,"not found",0)</f>
        <v>Trek Conduit+ - 2016</v>
      </c>
      <c r="I2120" s="1">
        <f t="shared" si="67"/>
        <v>2999.79</v>
      </c>
    </row>
    <row r="2121" spans="1:9" x14ac:dyDescent="0.2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 s="1">
        <f t="shared" si="66"/>
        <v>2499.9399999999996</v>
      </c>
      <c r="H2121" s="1" t="str">
        <f>_xlfn.XLOOKUP(C2121,Product!A:A,Product!B:B,"not found",0)</f>
        <v>Surly Karate Monkey 27.5+ Frameset - 2017</v>
      </c>
      <c r="I2121" s="1">
        <f t="shared" si="67"/>
        <v>2499.9399999999996</v>
      </c>
    </row>
    <row r="2122" spans="1:9" x14ac:dyDescent="0.2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 s="1">
        <f t="shared" si="66"/>
        <v>402.79</v>
      </c>
      <c r="H2122" s="1" t="str">
        <f>_xlfn.XLOOKUP(C2122,Product!A:A,Product!B:B,"not found",0)</f>
        <v>Sun Bicycles Boardwalk (24-inch Wheels) - 2017</v>
      </c>
      <c r="I2122" s="1">
        <f t="shared" si="67"/>
        <v>402.79</v>
      </c>
    </row>
    <row r="2123" spans="1:9" x14ac:dyDescent="0.2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 s="1">
        <f t="shared" si="66"/>
        <v>549.94000000000005</v>
      </c>
      <c r="H2123" s="1" t="str">
        <f>_xlfn.XLOOKUP(C2123,Product!A:A,Product!B:B,"not found",0)</f>
        <v>Electra Townie Original 21D - 2016</v>
      </c>
      <c r="I2123" s="1">
        <f t="shared" si="67"/>
        <v>549.94000000000005</v>
      </c>
    </row>
    <row r="2124" spans="1:9" x14ac:dyDescent="0.2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 s="1">
        <f t="shared" si="66"/>
        <v>4999.92</v>
      </c>
      <c r="H2124" s="1" t="str">
        <f>_xlfn.XLOOKUP(C2124,Product!A:A,Product!B:B,"not found",0)</f>
        <v>Trek Fuel EX 9.8 29 - 2017</v>
      </c>
      <c r="I2124" s="1">
        <f t="shared" si="67"/>
        <v>4999.92</v>
      </c>
    </row>
    <row r="2125" spans="1:9" x14ac:dyDescent="0.2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 s="1">
        <f t="shared" si="66"/>
        <v>619.94000000000005</v>
      </c>
      <c r="H2125" s="1" t="str">
        <f>_xlfn.XLOOKUP(C2125,Product!A:A,Product!B:B,"not found",0)</f>
        <v>Sun Bicycles Biscayne Tandem 7 - 2017</v>
      </c>
      <c r="I2125" s="1">
        <f t="shared" si="67"/>
        <v>619.94000000000005</v>
      </c>
    </row>
    <row r="2126" spans="1:9" x14ac:dyDescent="0.2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 s="1">
        <f t="shared" si="66"/>
        <v>1295.8800000000001</v>
      </c>
      <c r="H2126" s="1" t="str">
        <f>_xlfn.XLOOKUP(C2126,Product!A:A,Product!B:B,"not found",0)</f>
        <v>Sun Bicycles Biscayne Tandem CB - 2017</v>
      </c>
      <c r="I2126" s="1">
        <f t="shared" si="67"/>
        <v>1295.8800000000001</v>
      </c>
    </row>
    <row r="2127" spans="1:9" x14ac:dyDescent="0.2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 s="1">
        <f t="shared" si="66"/>
        <v>1739.93</v>
      </c>
      <c r="H2127" s="1" t="str">
        <f>_xlfn.XLOOKUP(C2127,Product!A:A,Product!B:B,"not found",0)</f>
        <v>Haro SR 1.2 - 2017</v>
      </c>
      <c r="I2127" s="1">
        <f t="shared" si="67"/>
        <v>1739.93</v>
      </c>
    </row>
    <row r="2128" spans="1:9" x14ac:dyDescent="0.2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 s="1">
        <f t="shared" si="66"/>
        <v>1099.93</v>
      </c>
      <c r="H2128" s="1" t="str">
        <f>_xlfn.XLOOKUP(C2128,Product!A:A,Product!B:B,"not found",0)</f>
        <v>Electra Townie Original 21D - 2016</v>
      </c>
      <c r="I2128" s="1">
        <f t="shared" si="67"/>
        <v>1099.93</v>
      </c>
    </row>
    <row r="2129" spans="1:9" x14ac:dyDescent="0.2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 s="1">
        <f t="shared" si="66"/>
        <v>3265.93</v>
      </c>
      <c r="H2129" s="1" t="str">
        <f>_xlfn.XLOOKUP(C2129,Product!A:A,Product!B:B,"not found",0)</f>
        <v>Surly Wednesday - 2017</v>
      </c>
      <c r="I2129" s="1">
        <f t="shared" si="67"/>
        <v>3265.93</v>
      </c>
    </row>
    <row r="2130" spans="1:9" x14ac:dyDescent="0.2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 s="1">
        <f t="shared" si="66"/>
        <v>1067.9100000000001</v>
      </c>
      <c r="H2130" s="1" t="str">
        <f>_xlfn.XLOOKUP(C2130,Product!A:A,Product!B:B,"not found",0)</f>
        <v>Sun Bicycles Streamway 7 - 2017</v>
      </c>
      <c r="I2130" s="1">
        <f t="shared" si="67"/>
        <v>1067.9100000000001</v>
      </c>
    </row>
    <row r="2131" spans="1:9" x14ac:dyDescent="0.2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 s="1">
        <f t="shared" si="66"/>
        <v>7999.78</v>
      </c>
      <c r="H2131" s="1" t="str">
        <f>_xlfn.XLOOKUP(C2131,Product!A:A,Product!B:B,"not found",0)</f>
        <v>Trek Slash 8 27.5 - 2016</v>
      </c>
      <c r="I2131" s="1">
        <f t="shared" si="67"/>
        <v>7999.78</v>
      </c>
    </row>
    <row r="2132" spans="1:9" x14ac:dyDescent="0.2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 s="1">
        <f t="shared" si="66"/>
        <v>1665.88</v>
      </c>
      <c r="H2132" s="1" t="str">
        <f>_xlfn.XLOOKUP(C2132,Product!A:A,Product!B:B,"not found",0)</f>
        <v>Surly Troll Frameset - 2017</v>
      </c>
      <c r="I2132" s="1">
        <f t="shared" si="67"/>
        <v>1665.88</v>
      </c>
    </row>
    <row r="2133" spans="1:9" x14ac:dyDescent="0.2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 s="1">
        <f t="shared" si="66"/>
        <v>299.92</v>
      </c>
      <c r="H2133" s="1" t="str">
        <f>_xlfn.XLOOKUP(C2133,Product!A:A,Product!B:B,"not found",0)</f>
        <v>Electra Girl's Hawaii 1 16" - 2017</v>
      </c>
      <c r="I2133" s="1">
        <f t="shared" si="67"/>
        <v>299.92</v>
      </c>
    </row>
    <row r="2134" spans="1:9" x14ac:dyDescent="0.2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 s="1">
        <f t="shared" si="66"/>
        <v>250.79000000000002</v>
      </c>
      <c r="H2134" s="1" t="str">
        <f>_xlfn.XLOOKUP(C2134,Product!A:A,Product!B:B,"not found",0)</f>
        <v>Sun Bicycles Revolutions 24 - 2017</v>
      </c>
      <c r="I2134" s="1">
        <f t="shared" si="67"/>
        <v>250.79000000000002</v>
      </c>
    </row>
    <row r="2135" spans="1:9" x14ac:dyDescent="0.2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 s="1">
        <f t="shared" si="66"/>
        <v>879.91</v>
      </c>
      <c r="H2135" s="1" t="str">
        <f>_xlfn.XLOOKUP(C2135,Product!A:A,Product!B:B,"not found",0)</f>
        <v>Electra Cruiser Lux 1 - 2017</v>
      </c>
      <c r="I2135" s="1">
        <f t="shared" si="67"/>
        <v>879.91</v>
      </c>
    </row>
    <row r="2136" spans="1:9" x14ac:dyDescent="0.2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 s="1">
        <f t="shared" si="66"/>
        <v>1099.9100000000001</v>
      </c>
      <c r="H2136" s="1" t="str">
        <f>_xlfn.XLOOKUP(C2136,Product!A:A,Product!B:B,"not found",0)</f>
        <v>Electra Townie Original 21D - 2016</v>
      </c>
      <c r="I2136" s="1">
        <f t="shared" si="67"/>
        <v>1099.9100000000001</v>
      </c>
    </row>
    <row r="2137" spans="1:9" x14ac:dyDescent="0.2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 s="1">
        <f t="shared" si="66"/>
        <v>999.94</v>
      </c>
      <c r="H2137" s="1" t="str">
        <f>_xlfn.XLOOKUP(C2137,Product!A:A,Product!B:B,"not found",0)</f>
        <v>Surly Wednesday Frameset - 2016</v>
      </c>
      <c r="I2137" s="1">
        <f t="shared" si="67"/>
        <v>999.94</v>
      </c>
    </row>
    <row r="2138" spans="1:9" x14ac:dyDescent="0.2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 s="1">
        <f t="shared" si="66"/>
        <v>501.93</v>
      </c>
      <c r="H2138" s="1" t="str">
        <f>_xlfn.XLOOKUP(C2138,Product!A:A,Product!B:B,"not found",0)</f>
        <v>Sun Bicycles Revolutions 24 - Girl's - 2017</v>
      </c>
      <c r="I2138" s="1">
        <f t="shared" si="67"/>
        <v>501.93</v>
      </c>
    </row>
    <row r="2139" spans="1:9" x14ac:dyDescent="0.2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 s="1">
        <f t="shared" si="66"/>
        <v>3999.79</v>
      </c>
      <c r="H2139" s="1" t="str">
        <f>_xlfn.XLOOKUP(C2139,Product!A:A,Product!B:B,"not found",0)</f>
        <v>Trek Slash 8 27.5 - 2016</v>
      </c>
      <c r="I2139" s="1">
        <f t="shared" si="67"/>
        <v>3999.79</v>
      </c>
    </row>
    <row r="2140" spans="1:9" x14ac:dyDescent="0.2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 s="1">
        <f t="shared" si="66"/>
        <v>1523.91</v>
      </c>
      <c r="H2140" s="1" t="str">
        <f>_xlfn.XLOOKUP(C2140,Product!A:A,Product!B:B,"not found",0)</f>
        <v>Sun Bicycles Brickell Tandem CB - 2017</v>
      </c>
      <c r="I2140" s="1">
        <f t="shared" si="67"/>
        <v>1523.91</v>
      </c>
    </row>
    <row r="2141" spans="1:9" x14ac:dyDescent="0.2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 s="1">
        <f t="shared" si="66"/>
        <v>10599.93</v>
      </c>
      <c r="H2141" s="1" t="str">
        <f>_xlfn.XLOOKUP(C2141,Product!A:A,Product!B:B,"not found",0)</f>
        <v>Trek Fuel EX 9.8 27.5 Plus - 2017</v>
      </c>
      <c r="I2141" s="1">
        <f t="shared" si="67"/>
        <v>10599.93</v>
      </c>
    </row>
    <row r="2142" spans="1:9" x14ac:dyDescent="0.2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 s="1">
        <f t="shared" si="66"/>
        <v>3999.88</v>
      </c>
      <c r="H2142" s="1" t="str">
        <f>_xlfn.XLOOKUP(C2142,Product!A:A,Product!B:B,"not found",0)</f>
        <v>Trek Emonda S 5 - 2017</v>
      </c>
      <c r="I2142" s="1">
        <f t="shared" si="67"/>
        <v>3999.88</v>
      </c>
    </row>
    <row r="2143" spans="1:9" x14ac:dyDescent="0.2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 s="1">
        <f t="shared" si="66"/>
        <v>489.89</v>
      </c>
      <c r="H2143" s="1" t="str">
        <f>_xlfn.XLOOKUP(C2143,Product!A:A,Product!B:B,"not found",0)</f>
        <v>Electra Townie Original 7D - 2017</v>
      </c>
      <c r="I2143" s="1">
        <f t="shared" si="67"/>
        <v>489.89</v>
      </c>
    </row>
    <row r="2144" spans="1:9" x14ac:dyDescent="0.2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 s="1">
        <f t="shared" si="66"/>
        <v>857.95</v>
      </c>
      <c r="H2144" s="1" t="str">
        <f>_xlfn.XLOOKUP(C2144,Product!A:A,Product!B:B,"not found",0)</f>
        <v>Pure Cycles Vine 8-Speed - 2016</v>
      </c>
      <c r="I2144" s="1">
        <f t="shared" si="67"/>
        <v>857.95</v>
      </c>
    </row>
    <row r="2145" spans="1:9" x14ac:dyDescent="0.2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 s="1">
        <f t="shared" si="66"/>
        <v>299.89</v>
      </c>
      <c r="H2145" s="1" t="str">
        <f>_xlfn.XLOOKUP(C2145,Product!A:A,Product!B:B,"not found",0)</f>
        <v>Electra Girl's Hawaii 1 16" - 2017</v>
      </c>
      <c r="I2145" s="1">
        <f t="shared" si="67"/>
        <v>299.89</v>
      </c>
    </row>
    <row r="2146" spans="1:9" x14ac:dyDescent="0.2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 s="1">
        <f t="shared" si="66"/>
        <v>539.91</v>
      </c>
      <c r="H2146" s="1" t="str">
        <f>_xlfn.XLOOKUP(C2146,Product!A:A,Product!B:B,"not found",0)</f>
        <v>Electra Girl's Hawaii 1 (16-inch) - 2015/2016</v>
      </c>
      <c r="I2146" s="1">
        <f t="shared" si="67"/>
        <v>539.91</v>
      </c>
    </row>
    <row r="2147" spans="1:9" x14ac:dyDescent="0.2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 s="1">
        <f t="shared" si="66"/>
        <v>299.89</v>
      </c>
      <c r="H2147" s="1" t="str">
        <f>_xlfn.XLOOKUP(C2147,Product!A:A,Product!B:B,"not found",0)</f>
        <v>Electra Sugar Skulls 1 (20-inch) - Girl's - 2017</v>
      </c>
      <c r="I2147" s="1">
        <f t="shared" si="67"/>
        <v>299.89</v>
      </c>
    </row>
    <row r="2148" spans="1:9" x14ac:dyDescent="0.2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 s="1">
        <f t="shared" si="66"/>
        <v>999.92</v>
      </c>
      <c r="H2148" s="1" t="str">
        <f>_xlfn.XLOOKUP(C2148,Product!A:A,Product!B:B,"not found",0)</f>
        <v>Surly Big Dummy Frameset - 2017</v>
      </c>
      <c r="I2148" s="1">
        <f t="shared" si="67"/>
        <v>999.92</v>
      </c>
    </row>
    <row r="2149" spans="1:9" x14ac:dyDescent="0.2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 s="1">
        <f t="shared" si="66"/>
        <v>693.91</v>
      </c>
      <c r="H2149" s="1" t="str">
        <f>_xlfn.XLOOKUP(C2149,Product!A:A,Product!B:B,"not found",0)</f>
        <v>Sun Bicycles Lil Bolt Type-R - 2017</v>
      </c>
      <c r="I2149" s="1">
        <f t="shared" si="67"/>
        <v>693.91</v>
      </c>
    </row>
    <row r="2150" spans="1:9" x14ac:dyDescent="0.2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 s="1">
        <f t="shared" si="66"/>
        <v>416.79</v>
      </c>
      <c r="H2150" s="1" t="str">
        <f>_xlfn.XLOOKUP(C2150,Product!A:A,Product!B:B,"not found",0)</f>
        <v>Sun Bicycles Cruz 7 - Women's - 2017</v>
      </c>
      <c r="I2150" s="1">
        <f t="shared" si="67"/>
        <v>416.79</v>
      </c>
    </row>
    <row r="2151" spans="1:9" x14ac:dyDescent="0.2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 s="1">
        <f t="shared" si="66"/>
        <v>419.93</v>
      </c>
      <c r="H2151" s="1" t="str">
        <f>_xlfn.XLOOKUP(C2151,Product!A:A,Product!B:B,"not found",0)</f>
        <v>Haro Shredder 20 Girls - 2017</v>
      </c>
      <c r="I2151" s="1">
        <f t="shared" si="67"/>
        <v>419.93</v>
      </c>
    </row>
    <row r="2152" spans="1:9" x14ac:dyDescent="0.2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 s="1">
        <f t="shared" si="66"/>
        <v>647.91999999999996</v>
      </c>
      <c r="H2152" s="1" t="str">
        <f>_xlfn.XLOOKUP(C2152,Product!A:A,Product!B:B,"not found",0)</f>
        <v>Sun Bicycles Biscayne Tandem CB - 2017</v>
      </c>
      <c r="I2152" s="1">
        <f t="shared" si="67"/>
        <v>647.91999999999996</v>
      </c>
    </row>
    <row r="2153" spans="1:9" x14ac:dyDescent="0.2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 s="1">
        <f t="shared" si="66"/>
        <v>539.91</v>
      </c>
      <c r="H2153" s="1" t="str">
        <f>_xlfn.XLOOKUP(C2153,Product!A:A,Product!B:B,"not found",0)</f>
        <v>Electra Cruiser 1 (24-Inch) - 2016</v>
      </c>
      <c r="I2153" s="1">
        <f t="shared" si="67"/>
        <v>539.91</v>
      </c>
    </row>
    <row r="2154" spans="1:9" x14ac:dyDescent="0.2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 s="1">
        <f t="shared" si="66"/>
        <v>1999.91</v>
      </c>
      <c r="H2154" s="1" t="str">
        <f>_xlfn.XLOOKUP(C2154,Product!A:A,Product!B:B,"not found",0)</f>
        <v>Trek X-Caliber 8 - 2017</v>
      </c>
      <c r="I2154" s="1">
        <f t="shared" si="67"/>
        <v>1999.91</v>
      </c>
    </row>
    <row r="2155" spans="1:9" x14ac:dyDescent="0.2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 s="1">
        <f t="shared" si="66"/>
        <v>5299.92</v>
      </c>
      <c r="H2155" s="1" t="str">
        <f>_xlfn.XLOOKUP(C2155,Product!A:A,Product!B:B,"not found",0)</f>
        <v>Trek Fuel EX 9.8 27.5 Plus - 2017</v>
      </c>
      <c r="I2155" s="1">
        <f t="shared" si="67"/>
        <v>5299.92</v>
      </c>
    </row>
    <row r="2156" spans="1:9" x14ac:dyDescent="0.2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 s="1">
        <f t="shared" si="66"/>
        <v>1751.78</v>
      </c>
      <c r="H2156" s="1" t="str">
        <f>_xlfn.XLOOKUP(C2156,Product!A:A,Product!B:B,"not found",0)</f>
        <v>Surly Steamroller - 2017</v>
      </c>
      <c r="I2156" s="1">
        <f t="shared" si="67"/>
        <v>1751.78</v>
      </c>
    </row>
    <row r="2157" spans="1:9" x14ac:dyDescent="0.2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 s="1">
        <f t="shared" si="66"/>
        <v>979.93000000000006</v>
      </c>
      <c r="H2157" s="1" t="str">
        <f>_xlfn.XLOOKUP(C2157,Product!A:A,Product!B:B,"not found",0)</f>
        <v>Electra Townie Original 7D - 2017</v>
      </c>
      <c r="I2157" s="1">
        <f t="shared" si="67"/>
        <v>979.93000000000006</v>
      </c>
    </row>
    <row r="2158" spans="1:9" x14ac:dyDescent="0.2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 s="1">
        <f t="shared" si="66"/>
        <v>209.92000000000002</v>
      </c>
      <c r="H2158" s="1" t="str">
        <f>_xlfn.XLOOKUP(C2158,Product!A:A,Product!B:B,"not found",0)</f>
        <v>Trek Precaliber 16 Girls - 2017</v>
      </c>
      <c r="I2158" s="1">
        <f t="shared" si="67"/>
        <v>209.92000000000002</v>
      </c>
    </row>
    <row r="2159" spans="1:9" x14ac:dyDescent="0.2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 s="1">
        <f t="shared" si="66"/>
        <v>551.89</v>
      </c>
      <c r="H2159" s="1" t="str">
        <f>_xlfn.XLOOKUP(C2159,Product!A:A,Product!B:B,"not found",0)</f>
        <v>Sun Bicycles Streamway 3 - 2017</v>
      </c>
      <c r="I2159" s="1">
        <f t="shared" si="67"/>
        <v>551.89</v>
      </c>
    </row>
    <row r="2160" spans="1:9" x14ac:dyDescent="0.2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 s="1">
        <f t="shared" si="66"/>
        <v>2699.9199999999996</v>
      </c>
      <c r="H2160" s="1" t="str">
        <f>_xlfn.XLOOKUP(C2160,Product!A:A,Product!B:B,"not found",0)</f>
        <v>Trek Domane S 6 - 2017</v>
      </c>
      <c r="I2160" s="1">
        <f t="shared" si="67"/>
        <v>2699.9199999999996</v>
      </c>
    </row>
    <row r="2161" spans="1:9" x14ac:dyDescent="0.2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 s="1">
        <f t="shared" si="66"/>
        <v>599.93000000000006</v>
      </c>
      <c r="H2161" s="1" t="str">
        <f>_xlfn.XLOOKUP(C2161,Product!A:A,Product!B:B,"not found",0)</f>
        <v>Electra Girl's Hawaii 1 16" - 2017</v>
      </c>
      <c r="I2161" s="1">
        <f t="shared" si="67"/>
        <v>599.93000000000006</v>
      </c>
    </row>
    <row r="2162" spans="1:9" x14ac:dyDescent="0.2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 s="1">
        <f t="shared" si="66"/>
        <v>2199.91</v>
      </c>
      <c r="H2162" s="1" t="str">
        <f>_xlfn.XLOOKUP(C2162,Product!A:A,Product!B:B,"not found",0)</f>
        <v>Electra Amsterdam Fashion 7i Ladies' - 2017</v>
      </c>
      <c r="I2162" s="1">
        <f t="shared" si="67"/>
        <v>2199.91</v>
      </c>
    </row>
    <row r="2163" spans="1:9" x14ac:dyDescent="0.2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 s="1">
        <f t="shared" si="66"/>
        <v>4999.78</v>
      </c>
      <c r="H2163" s="1" t="str">
        <f>_xlfn.XLOOKUP(C2163,Product!A:A,Product!B:B,"not found",0)</f>
        <v>Surly Karate Monkey 27.5+ Frameset - 2017</v>
      </c>
      <c r="I2163" s="1">
        <f t="shared" si="67"/>
        <v>4999.78</v>
      </c>
    </row>
    <row r="2164" spans="1:9" x14ac:dyDescent="0.2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 s="1">
        <f t="shared" si="66"/>
        <v>549.91999999999996</v>
      </c>
      <c r="H2164" s="1" t="str">
        <f>_xlfn.XLOOKUP(C2164,Product!A:A,Product!B:B,"not found",0)</f>
        <v>Electra Townie Original 21D - 2016</v>
      </c>
      <c r="I2164" s="1">
        <f t="shared" si="67"/>
        <v>549.91999999999996</v>
      </c>
    </row>
    <row r="2165" spans="1:9" x14ac:dyDescent="0.2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 s="1">
        <f t="shared" si="66"/>
        <v>499.79</v>
      </c>
      <c r="H2165" s="1" t="str">
        <f>_xlfn.XLOOKUP(C2165,Product!A:A,Product!B:B,"not found",0)</f>
        <v>Electra Townie Original 7D - 2015/2016</v>
      </c>
      <c r="I2165" s="1">
        <f t="shared" si="67"/>
        <v>499.79</v>
      </c>
    </row>
    <row r="2166" spans="1:9" x14ac:dyDescent="0.2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 s="1">
        <f t="shared" si="66"/>
        <v>749.79</v>
      </c>
      <c r="H2166" s="1" t="str">
        <f>_xlfn.XLOOKUP(C2166,Product!A:A,Product!B:B,"not found",0)</f>
        <v>Surly Ogre Frameset - 2017</v>
      </c>
      <c r="I2166" s="1">
        <f t="shared" si="67"/>
        <v>749.79</v>
      </c>
    </row>
    <row r="2167" spans="1:9" x14ac:dyDescent="0.2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 s="1">
        <f t="shared" si="66"/>
        <v>346.94</v>
      </c>
      <c r="H2167" s="1" t="str">
        <f>_xlfn.XLOOKUP(C2167,Product!A:A,Product!B:B,"not found",0)</f>
        <v>Sun Bicycles Lil Bolt Type-R - 2017</v>
      </c>
      <c r="I2167" s="1">
        <f t="shared" si="67"/>
        <v>346.94</v>
      </c>
    </row>
    <row r="2168" spans="1:9" x14ac:dyDescent="0.2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 s="1">
        <f t="shared" si="66"/>
        <v>470.79</v>
      </c>
      <c r="H2168" s="1" t="str">
        <f>_xlfn.XLOOKUP(C2168,Product!A:A,Product!B:B,"not found",0)</f>
        <v>Sun Bicycles Drifter 7 - Women's - 2017</v>
      </c>
      <c r="I2168" s="1">
        <f t="shared" si="67"/>
        <v>470.79</v>
      </c>
    </row>
    <row r="2169" spans="1:9" x14ac:dyDescent="0.2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 s="1">
        <f t="shared" si="66"/>
        <v>3499.89</v>
      </c>
      <c r="H2169" s="1" t="str">
        <f>_xlfn.XLOOKUP(C2169,Product!A:A,Product!B:B,"not found",0)</f>
        <v>Trek Boone Race Shop Limited - 2017</v>
      </c>
      <c r="I2169" s="1">
        <f t="shared" si="67"/>
        <v>3499.89</v>
      </c>
    </row>
    <row r="2170" spans="1:9" x14ac:dyDescent="0.2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 s="1">
        <f t="shared" si="66"/>
        <v>999.92</v>
      </c>
      <c r="H2170" s="1" t="str">
        <f>_xlfn.XLOOKUP(C2170,Product!A:A,Product!B:B,"not found",0)</f>
        <v>Trek X-Caliber 8 - 2017</v>
      </c>
      <c r="I2170" s="1">
        <f t="shared" si="67"/>
        <v>999.92</v>
      </c>
    </row>
    <row r="2171" spans="1:9" x14ac:dyDescent="0.2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 s="1">
        <f t="shared" si="66"/>
        <v>2939.93</v>
      </c>
      <c r="H2171" s="1" t="str">
        <f>_xlfn.XLOOKUP(C2171,Product!A:A,Product!B:B,"not found",0)</f>
        <v>Haro Shift R3 - 2017</v>
      </c>
      <c r="I2171" s="1">
        <f t="shared" si="67"/>
        <v>2939.93</v>
      </c>
    </row>
    <row r="2172" spans="1:9" x14ac:dyDescent="0.2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 s="1">
        <f t="shared" si="66"/>
        <v>1599.93</v>
      </c>
      <c r="H2172" s="1" t="str">
        <f>_xlfn.XLOOKUP(C2172,Product!A:A,Product!B:B,"not found",0)</f>
        <v>Electra Glam Punk 3i Ladies' - 2017</v>
      </c>
      <c r="I2172" s="1">
        <f t="shared" si="67"/>
        <v>1599.93</v>
      </c>
    </row>
    <row r="2173" spans="1:9" x14ac:dyDescent="0.2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 s="1">
        <f t="shared" si="66"/>
        <v>1632.79</v>
      </c>
      <c r="H2173" s="1" t="str">
        <f>_xlfn.XLOOKUP(C2173,Product!A:A,Product!B:B,"not found",0)</f>
        <v>Surly Wednesday - 2017</v>
      </c>
      <c r="I2173" s="1">
        <f t="shared" si="67"/>
        <v>1632.79</v>
      </c>
    </row>
    <row r="2174" spans="1:9" x14ac:dyDescent="0.2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 s="1">
        <f t="shared" si="66"/>
        <v>299.79000000000002</v>
      </c>
      <c r="H2174" s="1" t="str">
        <f>_xlfn.XLOOKUP(C2174,Product!A:A,Product!B:B,"not found",0)</f>
        <v>Electra Girl's Hawaii 1 16" - 2017</v>
      </c>
      <c r="I2174" s="1">
        <f t="shared" si="67"/>
        <v>299.79000000000002</v>
      </c>
    </row>
    <row r="2175" spans="1:9" x14ac:dyDescent="0.2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 s="1">
        <f t="shared" si="66"/>
        <v>1799.89</v>
      </c>
      <c r="H2175" s="1" t="str">
        <f>_xlfn.XLOOKUP(C2175,Product!A:A,Product!B:B,"not found",0)</f>
        <v>Trek Remedy 29 Carbon Frameset - 2016</v>
      </c>
      <c r="I2175" s="1">
        <f t="shared" si="67"/>
        <v>1799.89</v>
      </c>
    </row>
    <row r="2176" spans="1:9" x14ac:dyDescent="0.2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 s="1">
        <f t="shared" si="66"/>
        <v>939.93000000000006</v>
      </c>
      <c r="H2176" s="1" t="str">
        <f>_xlfn.XLOOKUP(C2176,Product!A:A,Product!B:B,"not found",0)</f>
        <v>Surly Ice Cream Truck Frameset - 2016</v>
      </c>
      <c r="I2176" s="1">
        <f t="shared" si="67"/>
        <v>939.93000000000006</v>
      </c>
    </row>
    <row r="2177" spans="1:9" x14ac:dyDescent="0.2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 s="1">
        <f t="shared" si="66"/>
        <v>1665.91</v>
      </c>
      <c r="H2177" s="1" t="str">
        <f>_xlfn.XLOOKUP(C2177,Product!A:A,Product!B:B,"not found",0)</f>
        <v>Surly Troll Frameset - 2017</v>
      </c>
      <c r="I2177" s="1">
        <f t="shared" si="67"/>
        <v>1665.91</v>
      </c>
    </row>
    <row r="2178" spans="1:9" x14ac:dyDescent="0.2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 s="1">
        <f t="shared" si="66"/>
        <v>470.94</v>
      </c>
      <c r="H2178" s="1" t="str">
        <f>_xlfn.XLOOKUP(C2178,Product!A:A,Product!B:B,"not found",0)</f>
        <v>Sun Bicycles Drifter 7 - 2017</v>
      </c>
      <c r="I2178" s="1">
        <f t="shared" si="67"/>
        <v>470.94</v>
      </c>
    </row>
    <row r="2179" spans="1:9" x14ac:dyDescent="0.2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 s="1">
        <f t="shared" ref="G2179:G2242" si="68">(E2179*D2179)-F2179</f>
        <v>2299.79</v>
      </c>
      <c r="H2179" s="1" t="str">
        <f>_xlfn.XLOOKUP(C2179,Product!A:A,Product!B:B,"not found",0)</f>
        <v>Trek Fuel EX 5 27.5 Plus - 2017</v>
      </c>
      <c r="I2179" s="1">
        <f t="shared" ref="I2179:I2242" si="69">(D2179*E2179)-F2179</f>
        <v>2299.79</v>
      </c>
    </row>
    <row r="2180" spans="1:9" x14ac:dyDescent="0.2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 s="1">
        <f t="shared" si="68"/>
        <v>551.79</v>
      </c>
      <c r="H2180" s="1" t="str">
        <f>_xlfn.XLOOKUP(C2180,Product!A:A,Product!B:B,"not found",0)</f>
        <v>Sun Bicycles Streamway 3 - 2017</v>
      </c>
      <c r="I2180" s="1">
        <f t="shared" si="69"/>
        <v>551.79</v>
      </c>
    </row>
    <row r="2181" spans="1:9" x14ac:dyDescent="0.2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 s="1">
        <f t="shared" si="68"/>
        <v>3361.93</v>
      </c>
      <c r="H2181" s="1" t="str">
        <f>_xlfn.XLOOKUP(C2181,Product!A:A,Product!B:B,"not found",0)</f>
        <v>Surly Straggler 650b - 2016</v>
      </c>
      <c r="I2181" s="1">
        <f t="shared" si="69"/>
        <v>3361.93</v>
      </c>
    </row>
    <row r="2182" spans="1:9" x14ac:dyDescent="0.2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 s="1">
        <f t="shared" si="68"/>
        <v>539.78</v>
      </c>
      <c r="H2182" s="1" t="str">
        <f>_xlfn.XLOOKUP(C2182,Product!A:A,Product!B:B,"not found",0)</f>
        <v>Electra Cruiser 1 (24-Inch) - 2016</v>
      </c>
      <c r="I2182" s="1">
        <f t="shared" si="69"/>
        <v>539.78</v>
      </c>
    </row>
    <row r="2183" spans="1:9" x14ac:dyDescent="0.2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 s="1">
        <f t="shared" si="68"/>
        <v>189.79000000000002</v>
      </c>
      <c r="H2183" s="1" t="str">
        <f>_xlfn.XLOOKUP(C2183,Product!A:A,Product!B:B,"not found",0)</f>
        <v>Trek Precaliber 12 Girls - 2017</v>
      </c>
      <c r="I2183" s="1">
        <f t="shared" si="69"/>
        <v>189.79000000000002</v>
      </c>
    </row>
    <row r="2184" spans="1:9" x14ac:dyDescent="0.2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 s="1">
        <f t="shared" si="68"/>
        <v>551.91999999999996</v>
      </c>
      <c r="H2184" s="1" t="str">
        <f>_xlfn.XLOOKUP(C2184,Product!A:A,Product!B:B,"not found",0)</f>
        <v>Sun Bicycles Streamway 3 - 2017</v>
      </c>
      <c r="I2184" s="1">
        <f t="shared" si="69"/>
        <v>551.91999999999996</v>
      </c>
    </row>
    <row r="2185" spans="1:9" x14ac:dyDescent="0.2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 s="1">
        <f t="shared" si="68"/>
        <v>209.89000000000001</v>
      </c>
      <c r="H2185" s="1" t="str">
        <f>_xlfn.XLOOKUP(C2185,Product!A:A,Product!B:B,"not found",0)</f>
        <v>Haro Shredder 20 - 2017</v>
      </c>
      <c r="I2185" s="1">
        <f t="shared" si="69"/>
        <v>209.89000000000001</v>
      </c>
    </row>
    <row r="2186" spans="1:9" x14ac:dyDescent="0.2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 s="1">
        <f t="shared" si="68"/>
        <v>269.94</v>
      </c>
      <c r="H2186" s="1" t="str">
        <f>_xlfn.XLOOKUP(C2186,Product!A:A,Product!B:B,"not found",0)</f>
        <v>Electra Girl's Hawaii 1 (16-inch) - 2015/2016</v>
      </c>
      <c r="I2186" s="1">
        <f t="shared" si="69"/>
        <v>269.94</v>
      </c>
    </row>
    <row r="2187" spans="1:9" x14ac:dyDescent="0.2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 s="1">
        <f t="shared" si="68"/>
        <v>857.8</v>
      </c>
      <c r="H2187" s="1" t="str">
        <f>_xlfn.XLOOKUP(C2187,Product!A:A,Product!B:B,"not found",0)</f>
        <v>Pure Cycles Vine 8-Speed - 2016</v>
      </c>
      <c r="I2187" s="1">
        <f t="shared" si="69"/>
        <v>857.8</v>
      </c>
    </row>
    <row r="2188" spans="1:9" x14ac:dyDescent="0.2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 s="1">
        <f t="shared" si="68"/>
        <v>939.91</v>
      </c>
      <c r="H2188" s="1" t="str">
        <f>_xlfn.XLOOKUP(C2188,Product!A:A,Product!B:B,"not found",0)</f>
        <v>Surly Wednesday Frameset - 2017</v>
      </c>
      <c r="I2188" s="1">
        <f t="shared" si="69"/>
        <v>939.91</v>
      </c>
    </row>
    <row r="2189" spans="1:9" x14ac:dyDescent="0.2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 s="1">
        <f t="shared" si="68"/>
        <v>346.94</v>
      </c>
      <c r="H2189" s="1" t="str">
        <f>_xlfn.XLOOKUP(C2189,Product!A:A,Product!B:B,"not found",0)</f>
        <v>Sun Bicycles Lil Bolt Type-R - 2017</v>
      </c>
      <c r="I2189" s="1">
        <f t="shared" si="69"/>
        <v>346.94</v>
      </c>
    </row>
    <row r="2190" spans="1:9" x14ac:dyDescent="0.2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 s="1">
        <f t="shared" si="68"/>
        <v>1665.93</v>
      </c>
      <c r="H2190" s="1" t="str">
        <f>_xlfn.XLOOKUP(C2190,Product!A:A,Product!B:B,"not found",0)</f>
        <v>Surly Troll Frameset - 2017</v>
      </c>
      <c r="I2190" s="1">
        <f t="shared" si="69"/>
        <v>1665.93</v>
      </c>
    </row>
    <row r="2191" spans="1:9" x14ac:dyDescent="0.2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 s="1">
        <f t="shared" si="68"/>
        <v>599.79</v>
      </c>
      <c r="H2191" s="1" t="str">
        <f>_xlfn.XLOOKUP(C2191,Product!A:A,Product!B:B,"not found",0)</f>
        <v>Electra Townie Original 7D EQ - Women's - 2016</v>
      </c>
      <c r="I2191" s="1">
        <f t="shared" si="69"/>
        <v>599.79</v>
      </c>
    </row>
    <row r="2192" spans="1:9" x14ac:dyDescent="0.2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 s="1">
        <f t="shared" si="68"/>
        <v>749.94</v>
      </c>
      <c r="H2192" s="1" t="str">
        <f>_xlfn.XLOOKUP(C2192,Product!A:A,Product!B:B,"not found",0)</f>
        <v>Sun Bicycles Brickell Tandem 7 - 2017</v>
      </c>
      <c r="I2192" s="1">
        <f t="shared" si="69"/>
        <v>749.94</v>
      </c>
    </row>
    <row r="2193" spans="1:9" x14ac:dyDescent="0.2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 s="1">
        <f t="shared" si="68"/>
        <v>9999.8799999999992</v>
      </c>
      <c r="H2193" s="1" t="str">
        <f>_xlfn.XLOOKUP(C2193,Product!A:A,Product!B:B,"not found",0)</f>
        <v>Trek Madone 9.2 - 2017</v>
      </c>
      <c r="I2193" s="1">
        <f t="shared" si="69"/>
        <v>9999.8799999999992</v>
      </c>
    </row>
    <row r="2194" spans="1:9" x14ac:dyDescent="0.2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 s="1">
        <f t="shared" si="68"/>
        <v>1499.92</v>
      </c>
      <c r="H2194" s="1" t="str">
        <f>_xlfn.XLOOKUP(C2194,Product!A:A,Product!B:B,"not found",0)</f>
        <v>Trek Stache 5 - 2017</v>
      </c>
      <c r="I2194" s="1">
        <f t="shared" si="69"/>
        <v>1499.92</v>
      </c>
    </row>
    <row r="2195" spans="1:9" x14ac:dyDescent="0.2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 s="1">
        <f t="shared" si="68"/>
        <v>2499.79</v>
      </c>
      <c r="H2195" s="1" t="str">
        <f>_xlfn.XLOOKUP(C2195,Product!A:A,Product!B:B,"not found",0)</f>
        <v>Surly Karate Monkey 27.5+ Frameset - 2017</v>
      </c>
      <c r="I2195" s="1">
        <f t="shared" si="69"/>
        <v>2499.79</v>
      </c>
    </row>
    <row r="2196" spans="1:9" x14ac:dyDescent="0.2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 s="1">
        <f t="shared" si="68"/>
        <v>4599.78</v>
      </c>
      <c r="H2196" s="1" t="str">
        <f>_xlfn.XLOOKUP(C2196,Product!A:A,Product!B:B,"not found",0)</f>
        <v>Trek Fuel EX 5 27.5 Plus - 2017</v>
      </c>
      <c r="I2196" s="1">
        <f t="shared" si="69"/>
        <v>4599.78</v>
      </c>
    </row>
    <row r="2197" spans="1:9" x14ac:dyDescent="0.2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 s="1">
        <f t="shared" si="68"/>
        <v>416.89</v>
      </c>
      <c r="H2197" s="1" t="str">
        <f>_xlfn.XLOOKUP(C2197,Product!A:A,Product!B:B,"not found",0)</f>
        <v>Sun Bicycles Atlas X-Type - 2017</v>
      </c>
      <c r="I2197" s="1">
        <f t="shared" si="69"/>
        <v>416.89</v>
      </c>
    </row>
    <row r="2198" spans="1:9" x14ac:dyDescent="0.2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 s="1">
        <f t="shared" si="68"/>
        <v>832.89</v>
      </c>
      <c r="H2198" s="1" t="str">
        <f>_xlfn.XLOOKUP(C2198,Product!A:A,Product!B:B,"not found",0)</f>
        <v>Sun Bicycles Spider 3i - 2017</v>
      </c>
      <c r="I2198" s="1">
        <f t="shared" si="69"/>
        <v>832.89</v>
      </c>
    </row>
    <row r="2199" spans="1:9" x14ac:dyDescent="0.2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 s="1">
        <f t="shared" si="68"/>
        <v>1320.79</v>
      </c>
      <c r="H2199" s="1" t="str">
        <f>_xlfn.XLOOKUP(C2199,Product!A:A,Product!B:B,"not found",0)</f>
        <v>Heller Shagamaw Frame - 2016</v>
      </c>
      <c r="I2199" s="1">
        <f t="shared" si="69"/>
        <v>1320.79</v>
      </c>
    </row>
    <row r="2200" spans="1:9" x14ac:dyDescent="0.2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 s="1">
        <f t="shared" si="68"/>
        <v>7999.78</v>
      </c>
      <c r="H2200" s="1" t="str">
        <f>_xlfn.XLOOKUP(C2200,Product!A:A,Product!B:B,"not found",0)</f>
        <v>Trek Slash 8 27.5 - 2016</v>
      </c>
      <c r="I2200" s="1">
        <f t="shared" si="69"/>
        <v>7999.78</v>
      </c>
    </row>
    <row r="2201" spans="1:9" x14ac:dyDescent="0.2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 s="1">
        <f t="shared" si="68"/>
        <v>749.79</v>
      </c>
      <c r="H2201" s="1" t="str">
        <f>_xlfn.XLOOKUP(C2201,Product!A:A,Product!B:B,"not found",0)</f>
        <v>Ritchey Timberwolf Frameset - 2016</v>
      </c>
      <c r="I2201" s="1">
        <f t="shared" si="69"/>
        <v>749.79</v>
      </c>
    </row>
    <row r="2202" spans="1:9" x14ac:dyDescent="0.2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 s="1">
        <f t="shared" si="68"/>
        <v>489.89</v>
      </c>
      <c r="H2202" s="1" t="str">
        <f>_xlfn.XLOOKUP(C2202,Product!A:A,Product!B:B,"not found",0)</f>
        <v>Electra Townie Original 7D - 2017</v>
      </c>
      <c r="I2202" s="1">
        <f t="shared" si="69"/>
        <v>489.89</v>
      </c>
    </row>
    <row r="2203" spans="1:9" x14ac:dyDescent="0.2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 s="1">
        <f t="shared" si="68"/>
        <v>329.94</v>
      </c>
      <c r="H2203" s="1" t="str">
        <f>_xlfn.XLOOKUP(C2203,Product!A:A,Product!B:B,"not found",0)</f>
        <v>Haro Downtown 16 - 2017</v>
      </c>
      <c r="I2203" s="1">
        <f t="shared" si="69"/>
        <v>329.94</v>
      </c>
    </row>
    <row r="2204" spans="1:9" x14ac:dyDescent="0.2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 s="1">
        <f t="shared" si="68"/>
        <v>339.94</v>
      </c>
      <c r="H2204" s="1" t="str">
        <f>_xlfn.XLOOKUP(C2204,Product!A:A,Product!B:B,"not found",0)</f>
        <v>Electra Townie 7D (20-inch) - Boys' - 2017</v>
      </c>
      <c r="I2204" s="1">
        <f t="shared" si="69"/>
        <v>339.94</v>
      </c>
    </row>
    <row r="2205" spans="1:9" x14ac:dyDescent="0.2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 s="1">
        <f t="shared" si="68"/>
        <v>419.78000000000003</v>
      </c>
      <c r="H2205" s="1" t="str">
        <f>_xlfn.XLOOKUP(C2205,Product!A:A,Product!B:B,"not found",0)</f>
        <v>Trek Precaliber 16 Girls - 2017</v>
      </c>
      <c r="I2205" s="1">
        <f t="shared" si="69"/>
        <v>419.78000000000003</v>
      </c>
    </row>
    <row r="2206" spans="1:9" x14ac:dyDescent="0.2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 s="1">
        <f t="shared" si="68"/>
        <v>5299.79</v>
      </c>
      <c r="H2206" s="1" t="str">
        <f>_xlfn.XLOOKUP(C2206,Product!A:A,Product!B:B,"not found",0)</f>
        <v>Trek Remedy 9.8 - 2017</v>
      </c>
      <c r="I2206" s="1">
        <f t="shared" si="69"/>
        <v>5299.79</v>
      </c>
    </row>
    <row r="2207" spans="1:9" x14ac:dyDescent="0.2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 s="1">
        <f t="shared" si="68"/>
        <v>1799.79</v>
      </c>
      <c r="H2207" s="1" t="str">
        <f>_xlfn.XLOOKUP(C2207,Product!A:A,Product!B:B,"not found",0)</f>
        <v>Trek Remedy 29 Carbon Frameset - 2016</v>
      </c>
      <c r="I2207" s="1">
        <f t="shared" si="69"/>
        <v>1799.79</v>
      </c>
    </row>
    <row r="2208" spans="1:9" x14ac:dyDescent="0.2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 s="1">
        <f t="shared" si="68"/>
        <v>329.79</v>
      </c>
      <c r="H2208" s="1" t="str">
        <f>_xlfn.XLOOKUP(C2208,Product!A:A,Product!B:B,"not found",0)</f>
        <v>Haro Downtown 16 - 2017</v>
      </c>
      <c r="I2208" s="1">
        <f t="shared" si="69"/>
        <v>329.79</v>
      </c>
    </row>
    <row r="2209" spans="1:9" x14ac:dyDescent="0.2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 s="1">
        <f t="shared" si="68"/>
        <v>469.89</v>
      </c>
      <c r="H2209" s="1" t="str">
        <f>_xlfn.XLOOKUP(C2209,Product!A:A,Product!B:B,"not found",0)</f>
        <v>Trek Farley Alloy Frameset - 2017</v>
      </c>
      <c r="I2209" s="1">
        <f t="shared" si="69"/>
        <v>469.89</v>
      </c>
    </row>
    <row r="2210" spans="1:9" x14ac:dyDescent="0.2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 s="1">
        <f t="shared" si="68"/>
        <v>833.93000000000006</v>
      </c>
      <c r="H2210" s="1" t="str">
        <f>_xlfn.XLOOKUP(C2210,Product!A:A,Product!B:B,"not found",0)</f>
        <v>Sun Bicycles Cruz 7 - Women's - 2017</v>
      </c>
      <c r="I2210" s="1">
        <f t="shared" si="69"/>
        <v>833.93000000000006</v>
      </c>
    </row>
    <row r="2211" spans="1:9" x14ac:dyDescent="0.2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 s="1">
        <f t="shared" si="68"/>
        <v>7999.78</v>
      </c>
      <c r="H2211" s="1" t="str">
        <f>_xlfn.XLOOKUP(C2211,Product!A:A,Product!B:B,"not found",0)</f>
        <v>Trek Slash 8 27.5 - 2016</v>
      </c>
      <c r="I2211" s="1">
        <f t="shared" si="69"/>
        <v>7999.78</v>
      </c>
    </row>
    <row r="2212" spans="1:9" x14ac:dyDescent="0.2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 s="1">
        <f t="shared" si="68"/>
        <v>3999.88</v>
      </c>
      <c r="H2212" s="1" t="str">
        <f>_xlfn.XLOOKUP(C2212,Product!A:A,Product!B:B,"not found",0)</f>
        <v>Trek Emonda S 5 - 2017</v>
      </c>
      <c r="I2212" s="1">
        <f t="shared" si="69"/>
        <v>3999.88</v>
      </c>
    </row>
    <row r="2213" spans="1:9" x14ac:dyDescent="0.2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 s="1">
        <f t="shared" si="68"/>
        <v>1199.9100000000001</v>
      </c>
      <c r="H2213" s="1" t="str">
        <f>_xlfn.XLOOKUP(C2213,Product!A:A,Product!B:B,"not found",0)</f>
        <v>Electra Townie Original 7D EQ - Women's - 2016</v>
      </c>
      <c r="I2213" s="1">
        <f t="shared" si="69"/>
        <v>1199.9100000000001</v>
      </c>
    </row>
    <row r="2214" spans="1:9" x14ac:dyDescent="0.2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 s="1">
        <f t="shared" si="68"/>
        <v>1999.92</v>
      </c>
      <c r="H2214" s="1" t="str">
        <f>_xlfn.XLOOKUP(C2214,Product!A:A,Product!B:B,"not found",0)</f>
        <v>Trek Emonda S 5 - 2017</v>
      </c>
      <c r="I2214" s="1">
        <f t="shared" si="69"/>
        <v>1999.92</v>
      </c>
    </row>
    <row r="2215" spans="1:9" x14ac:dyDescent="0.2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 s="1">
        <f t="shared" si="68"/>
        <v>299.92</v>
      </c>
      <c r="H2215" s="1" t="str">
        <f>_xlfn.XLOOKUP(C2215,Product!A:A,Product!B:B,"not found",0)</f>
        <v>Electra Sugar Skulls 1 (20-inch) - Girl's - 2017</v>
      </c>
      <c r="I2215" s="1">
        <f t="shared" si="69"/>
        <v>299.92</v>
      </c>
    </row>
    <row r="2216" spans="1:9" x14ac:dyDescent="0.2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 s="1">
        <f t="shared" si="68"/>
        <v>1199.78</v>
      </c>
      <c r="H2216" s="1" t="str">
        <f>_xlfn.XLOOKUP(C2216,Product!A:A,Product!B:B,"not found",0)</f>
        <v>Electra Townie Original 7D EQ - 2016</v>
      </c>
      <c r="I2216" s="1">
        <f t="shared" si="69"/>
        <v>1199.78</v>
      </c>
    </row>
    <row r="2217" spans="1:9" x14ac:dyDescent="0.2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 s="1">
        <f t="shared" si="68"/>
        <v>209.79000000000002</v>
      </c>
      <c r="H2217" s="1" t="str">
        <f>_xlfn.XLOOKUP(C2217,Product!A:A,Product!B:B,"not found",0)</f>
        <v>Haro Shredder 20 - 2017</v>
      </c>
      <c r="I2217" s="1">
        <f t="shared" si="69"/>
        <v>209.79000000000002</v>
      </c>
    </row>
    <row r="2218" spans="1:9" x14ac:dyDescent="0.2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 s="1">
        <f t="shared" si="68"/>
        <v>539.93000000000006</v>
      </c>
      <c r="H2218" s="1" t="str">
        <f>_xlfn.XLOOKUP(C2218,Product!A:A,Product!B:B,"not found",0)</f>
        <v>Electra Girl's Hawaii 1 (16-inch) - 2015/2016</v>
      </c>
      <c r="I2218" s="1">
        <f t="shared" si="69"/>
        <v>539.93000000000006</v>
      </c>
    </row>
    <row r="2219" spans="1:9" x14ac:dyDescent="0.2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 s="1">
        <f t="shared" si="68"/>
        <v>249.94</v>
      </c>
      <c r="H2219" s="1" t="str">
        <f>_xlfn.XLOOKUP(C2219,Product!A:A,Product!B:B,"not found",0)</f>
        <v>Haro Shredder Pro 20 - 2017</v>
      </c>
      <c r="I2219" s="1">
        <f t="shared" si="69"/>
        <v>249.94</v>
      </c>
    </row>
    <row r="2220" spans="1:9" x14ac:dyDescent="0.2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 s="1">
        <f t="shared" si="68"/>
        <v>999.89</v>
      </c>
      <c r="H2220" s="1" t="str">
        <f>_xlfn.XLOOKUP(C2220,Product!A:A,Product!B:B,"not found",0)</f>
        <v>Trek X-Caliber 8 - 2017</v>
      </c>
      <c r="I2220" s="1">
        <f t="shared" si="69"/>
        <v>999.89</v>
      </c>
    </row>
    <row r="2221" spans="1:9" x14ac:dyDescent="0.2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 s="1">
        <f t="shared" si="68"/>
        <v>269.92</v>
      </c>
      <c r="H2221" s="1" t="str">
        <f>_xlfn.XLOOKUP(C2221,Product!A:A,Product!B:B,"not found",0)</f>
        <v>Electra Girl's Hawaii 1 (16-inch) - 2015/2016</v>
      </c>
      <c r="I2221" s="1">
        <f t="shared" si="69"/>
        <v>269.92</v>
      </c>
    </row>
    <row r="2222" spans="1:9" x14ac:dyDescent="0.2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 s="1">
        <f t="shared" si="68"/>
        <v>1239.8800000000001</v>
      </c>
      <c r="H2222" s="1" t="str">
        <f>_xlfn.XLOOKUP(C2222,Product!A:A,Product!B:B,"not found",0)</f>
        <v>Sun Bicycles Biscayne Tandem 7 - 2017</v>
      </c>
      <c r="I2222" s="1">
        <f t="shared" si="69"/>
        <v>1239.8800000000001</v>
      </c>
    </row>
    <row r="2223" spans="1:9" x14ac:dyDescent="0.2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 s="1">
        <f t="shared" si="68"/>
        <v>599.79</v>
      </c>
      <c r="H2223" s="1" t="str">
        <f>_xlfn.XLOOKUP(C2223,Product!A:A,Product!B:B,"not found",0)</f>
        <v>Electra Townie Original 7D EQ - 2016</v>
      </c>
      <c r="I2223" s="1">
        <f t="shared" si="69"/>
        <v>599.79</v>
      </c>
    </row>
    <row r="2224" spans="1:9" x14ac:dyDescent="0.2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 s="1">
        <f t="shared" si="68"/>
        <v>5199.78</v>
      </c>
      <c r="H2224" s="1" t="str">
        <f>_xlfn.XLOOKUP(C2224,Product!A:A,Product!B:B,"not found",0)</f>
        <v>Trek Domane S 5 Disc - 2017</v>
      </c>
      <c r="I2224" s="1">
        <f t="shared" si="69"/>
        <v>5199.78</v>
      </c>
    </row>
    <row r="2225" spans="1:9" x14ac:dyDescent="0.2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 s="1">
        <f t="shared" si="68"/>
        <v>4999.92</v>
      </c>
      <c r="H2225" s="1" t="str">
        <f>_xlfn.XLOOKUP(C2225,Product!A:A,Product!B:B,"not found",0)</f>
        <v>Trek Fuel EX 9.8 29 - 2017</v>
      </c>
      <c r="I2225" s="1">
        <f t="shared" si="69"/>
        <v>4999.92</v>
      </c>
    </row>
    <row r="2226" spans="1:9" x14ac:dyDescent="0.2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 s="1">
        <f t="shared" si="68"/>
        <v>499.92</v>
      </c>
      <c r="H2226" s="1" t="str">
        <f>_xlfn.XLOOKUP(C2226,Product!A:A,Product!B:B,"not found",0)</f>
        <v>Electra Townie Original 7D - 2015/2016</v>
      </c>
      <c r="I2226" s="1">
        <f t="shared" si="69"/>
        <v>499.92</v>
      </c>
    </row>
    <row r="2227" spans="1:9" x14ac:dyDescent="0.2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 s="1">
        <f t="shared" si="68"/>
        <v>761.94</v>
      </c>
      <c r="H2227" s="1" t="str">
        <f>_xlfn.XLOOKUP(C2227,Product!A:A,Product!B:B,"not found",0)</f>
        <v>Sun Bicycles Brickell Tandem CB - 2017</v>
      </c>
      <c r="I2227" s="1">
        <f t="shared" si="69"/>
        <v>761.94</v>
      </c>
    </row>
    <row r="2228" spans="1:9" x14ac:dyDescent="0.2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 s="1">
        <f t="shared" si="68"/>
        <v>12999.91</v>
      </c>
      <c r="H2228" s="1" t="str">
        <f>_xlfn.XLOOKUP(C2228,Product!A:A,Product!B:B,"not found",0)</f>
        <v>Trek Silque SLR 8 Women's - 2017</v>
      </c>
      <c r="I2228" s="1">
        <f t="shared" si="69"/>
        <v>12999.91</v>
      </c>
    </row>
    <row r="2229" spans="1:9" x14ac:dyDescent="0.2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 s="1">
        <f t="shared" si="68"/>
        <v>501.88</v>
      </c>
      <c r="H2229" s="1" t="str">
        <f>_xlfn.XLOOKUP(C2229,Product!A:A,Product!B:B,"not found",0)</f>
        <v>Sun Bicycles Revolutions 24 - 2017</v>
      </c>
      <c r="I2229" s="1">
        <f t="shared" si="69"/>
        <v>501.88</v>
      </c>
    </row>
    <row r="2230" spans="1:9" x14ac:dyDescent="0.2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 s="1">
        <f t="shared" si="68"/>
        <v>1499.79</v>
      </c>
      <c r="H2230" s="1" t="str">
        <f>_xlfn.XLOOKUP(C2230,Product!A:A,Product!B:B,"not found",0)</f>
        <v>Trek Emonda S 4 - 2017</v>
      </c>
      <c r="I2230" s="1">
        <f t="shared" si="69"/>
        <v>1499.79</v>
      </c>
    </row>
    <row r="2231" spans="1:9" x14ac:dyDescent="0.2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 s="1">
        <f t="shared" si="68"/>
        <v>448.9</v>
      </c>
      <c r="H2231" s="1" t="str">
        <f>_xlfn.XLOOKUP(C2231,Product!A:A,Product!B:B,"not found",0)</f>
        <v>Pure Cycles William 3-Speed - 2016</v>
      </c>
      <c r="I2231" s="1">
        <f t="shared" si="69"/>
        <v>448.9</v>
      </c>
    </row>
    <row r="2232" spans="1:9" x14ac:dyDescent="0.2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 s="1">
        <f t="shared" si="68"/>
        <v>269.94</v>
      </c>
      <c r="H2232" s="1" t="str">
        <f>_xlfn.XLOOKUP(C2232,Product!A:A,Product!B:B,"not found",0)</f>
        <v>Electra Cruiser 1 (24-Inch) - 2016</v>
      </c>
      <c r="I2232" s="1">
        <f t="shared" si="69"/>
        <v>269.94</v>
      </c>
    </row>
    <row r="2233" spans="1:9" x14ac:dyDescent="0.2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 s="1">
        <f t="shared" si="68"/>
        <v>979.78</v>
      </c>
      <c r="H2233" s="1" t="str">
        <f>_xlfn.XLOOKUP(C2233,Product!A:A,Product!B:B,"not found",0)</f>
        <v>Electra Townie 3i EQ (20-inch) - Boys' - 2017</v>
      </c>
      <c r="I2233" s="1">
        <f t="shared" si="69"/>
        <v>979.78</v>
      </c>
    </row>
    <row r="2234" spans="1:9" x14ac:dyDescent="0.2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 s="1">
        <f t="shared" si="68"/>
        <v>419.91</v>
      </c>
      <c r="H2234" s="1" t="str">
        <f>_xlfn.XLOOKUP(C2234,Product!A:A,Product!B:B,"not found",0)</f>
        <v>Haro Shredder 20 Girls - 2017</v>
      </c>
      <c r="I2234" s="1">
        <f t="shared" si="69"/>
        <v>419.91</v>
      </c>
    </row>
    <row r="2235" spans="1:9" x14ac:dyDescent="0.2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 s="1">
        <f t="shared" si="68"/>
        <v>6999.91</v>
      </c>
      <c r="H2235" s="1" t="str">
        <f>_xlfn.XLOOKUP(C2235,Product!A:A,Product!B:B,"not found",0)</f>
        <v>Trek Boone 7 - 2017</v>
      </c>
      <c r="I2235" s="1">
        <f t="shared" si="69"/>
        <v>6999.91</v>
      </c>
    </row>
    <row r="2236" spans="1:9" x14ac:dyDescent="0.2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 s="1">
        <f t="shared" si="68"/>
        <v>349.89</v>
      </c>
      <c r="H2236" s="1" t="str">
        <f>_xlfn.XLOOKUP(C2236,Product!A:A,Product!B:B,"not found",0)</f>
        <v>Trek Precaliber 24 (21-Speed) - Girls - 2017</v>
      </c>
      <c r="I2236" s="1">
        <f t="shared" si="69"/>
        <v>349.89</v>
      </c>
    </row>
    <row r="2237" spans="1:9" x14ac:dyDescent="0.2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 s="1">
        <f t="shared" si="68"/>
        <v>3199.79</v>
      </c>
      <c r="H2237" s="1" t="str">
        <f>_xlfn.XLOOKUP(C2237,Product!A:A,Product!B:B,"not found",0)</f>
        <v>Trek Domane SL Disc Frameset - 2017</v>
      </c>
      <c r="I2237" s="1">
        <f t="shared" si="69"/>
        <v>3199.79</v>
      </c>
    </row>
    <row r="2238" spans="1:9" x14ac:dyDescent="0.2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 s="1">
        <f t="shared" si="68"/>
        <v>999.91</v>
      </c>
      <c r="H2238" s="1" t="str">
        <f>_xlfn.XLOOKUP(C2238,Product!A:A,Product!B:B,"not found",0)</f>
        <v>Electra Townie Original 7D - 2015/2016</v>
      </c>
      <c r="I2238" s="1">
        <f t="shared" si="69"/>
        <v>999.91</v>
      </c>
    </row>
    <row r="2239" spans="1:9" x14ac:dyDescent="0.2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 s="1">
        <f t="shared" si="68"/>
        <v>1199.78</v>
      </c>
      <c r="H2239" s="1" t="str">
        <f>_xlfn.XLOOKUP(C2239,Product!A:A,Product!B:B,"not found",0)</f>
        <v>Electra Townie Original 7D EQ - 2016</v>
      </c>
      <c r="I2239" s="1">
        <f t="shared" si="69"/>
        <v>1199.78</v>
      </c>
    </row>
    <row r="2240" spans="1:9" x14ac:dyDescent="0.2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 s="1">
        <f t="shared" si="68"/>
        <v>1499.79</v>
      </c>
      <c r="H2240" s="1" t="str">
        <f>_xlfn.XLOOKUP(C2240,Product!A:A,Product!B:B,"not found",0)</f>
        <v>Trek Stache 5 - 2017</v>
      </c>
      <c r="I2240" s="1">
        <f t="shared" si="69"/>
        <v>1499.79</v>
      </c>
    </row>
    <row r="2241" spans="1:9" x14ac:dyDescent="0.2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 s="1">
        <f t="shared" si="68"/>
        <v>5499.79</v>
      </c>
      <c r="H2241" s="1" t="str">
        <f>_xlfn.XLOOKUP(C2241,Product!A:A,Product!B:B,"not found",0)</f>
        <v>Trek Domane SLR 6 Disc - 2017</v>
      </c>
      <c r="I2241" s="1">
        <f t="shared" si="69"/>
        <v>5499.79</v>
      </c>
    </row>
    <row r="2242" spans="1:9" x14ac:dyDescent="0.2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 s="1">
        <f t="shared" si="68"/>
        <v>999.94</v>
      </c>
      <c r="H2242" s="1" t="str">
        <f>_xlfn.XLOOKUP(C2242,Product!A:A,Product!B:B,"not found",0)</f>
        <v>Surly Ice Cream Truck Frameset - 2017</v>
      </c>
      <c r="I2242" s="1">
        <f t="shared" si="69"/>
        <v>999.94</v>
      </c>
    </row>
    <row r="2243" spans="1:9" x14ac:dyDescent="0.2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 s="1">
        <f t="shared" ref="G2243:G2306" si="70">(E2243*D2243)-F2243</f>
        <v>749.79</v>
      </c>
      <c r="H2243" s="1" t="str">
        <f>_xlfn.XLOOKUP(C2243,Product!A:A,Product!B:B,"not found",0)</f>
        <v>Ritchey Timberwolf Frameset - 2016</v>
      </c>
      <c r="I2243" s="1">
        <f t="shared" ref="I2243:I2306" si="71">(D2243*E2243)-F2243</f>
        <v>749.79</v>
      </c>
    </row>
    <row r="2244" spans="1:9" x14ac:dyDescent="0.2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 s="1">
        <f t="shared" si="70"/>
        <v>1559.94</v>
      </c>
      <c r="H2244" s="1" t="str">
        <f>_xlfn.XLOOKUP(C2244,Product!A:A,Product!B:B,"not found",0)</f>
        <v>Sun Bicycles ElectroLite - 2017</v>
      </c>
      <c r="I2244" s="1">
        <f t="shared" si="71"/>
        <v>1559.94</v>
      </c>
    </row>
    <row r="2245" spans="1:9" x14ac:dyDescent="0.2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 s="1">
        <f t="shared" si="70"/>
        <v>599.93000000000006</v>
      </c>
      <c r="H2245" s="1" t="str">
        <f>_xlfn.XLOOKUP(C2245,Product!A:A,Product!B:B,"not found",0)</f>
        <v>Electra Girl's Hawaii 1 16" - 2017</v>
      </c>
      <c r="I2245" s="1">
        <f t="shared" si="71"/>
        <v>599.93000000000006</v>
      </c>
    </row>
    <row r="2246" spans="1:9" x14ac:dyDescent="0.2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 s="1">
        <f t="shared" si="70"/>
        <v>1199.93</v>
      </c>
      <c r="H2246" s="1" t="str">
        <f>_xlfn.XLOOKUP(C2246,Product!A:A,Product!B:B,"not found",0)</f>
        <v>Electra Cruiser Lux Fat Tire 1 Ladies - 2017</v>
      </c>
      <c r="I2246" s="1">
        <f t="shared" si="71"/>
        <v>1199.93</v>
      </c>
    </row>
    <row r="2247" spans="1:9" x14ac:dyDescent="0.2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 s="1">
        <f t="shared" si="70"/>
        <v>2939.93</v>
      </c>
      <c r="H2247" s="1" t="str">
        <f>_xlfn.XLOOKUP(C2247,Product!A:A,Product!B:B,"not found",0)</f>
        <v>Haro Shift R3 - 2017</v>
      </c>
      <c r="I2247" s="1">
        <f t="shared" si="71"/>
        <v>2939.93</v>
      </c>
    </row>
    <row r="2248" spans="1:9" x14ac:dyDescent="0.2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 s="1">
        <f t="shared" si="70"/>
        <v>449.79</v>
      </c>
      <c r="H2248" s="1" t="str">
        <f>_xlfn.XLOOKUP(C2248,Product!A:A,Product!B:B,"not found",0)</f>
        <v>Sun Bicycles Cruz 3 - 2017</v>
      </c>
      <c r="I2248" s="1">
        <f t="shared" si="71"/>
        <v>449.79</v>
      </c>
    </row>
    <row r="2249" spans="1:9" x14ac:dyDescent="0.2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 s="1">
        <f t="shared" si="70"/>
        <v>428.93</v>
      </c>
      <c r="H2249" s="1" t="str">
        <f>_xlfn.XLOOKUP(C2249,Product!A:A,Product!B:B,"not found",0)</f>
        <v>Pure Cycles Vine 8-Speed - 2016</v>
      </c>
      <c r="I2249" s="1">
        <f t="shared" si="71"/>
        <v>428.93</v>
      </c>
    </row>
    <row r="2250" spans="1:9" x14ac:dyDescent="0.2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 s="1">
        <f t="shared" si="70"/>
        <v>2499.89</v>
      </c>
      <c r="H2250" s="1" t="str">
        <f>_xlfn.XLOOKUP(C2250,Product!A:A,Product!B:B,"not found",0)</f>
        <v>Surly Karate Monkey 27.5+ Frameset - 2017</v>
      </c>
      <c r="I2250" s="1">
        <f t="shared" si="71"/>
        <v>2499.89</v>
      </c>
    </row>
    <row r="2251" spans="1:9" x14ac:dyDescent="0.2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 s="1">
        <f t="shared" si="70"/>
        <v>599.93000000000006</v>
      </c>
      <c r="H2251" s="1" t="str">
        <f>_xlfn.XLOOKUP(C2251,Product!A:A,Product!B:B,"not found",0)</f>
        <v>Electra Girl's Hawaii 1 16" - 2017</v>
      </c>
      <c r="I2251" s="1">
        <f t="shared" si="71"/>
        <v>599.93000000000006</v>
      </c>
    </row>
    <row r="2252" spans="1:9" x14ac:dyDescent="0.2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 s="1">
        <f t="shared" si="70"/>
        <v>599.93000000000006</v>
      </c>
      <c r="H2252" s="1" t="str">
        <f>_xlfn.XLOOKUP(C2252,Product!A:A,Product!B:B,"not found",0)</f>
        <v>Electra Sugar Skulls 1 (20-inch) - Girl's - 2017</v>
      </c>
      <c r="I2252" s="1">
        <f t="shared" si="71"/>
        <v>599.93000000000006</v>
      </c>
    </row>
    <row r="2253" spans="1:9" x14ac:dyDescent="0.2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 s="1">
        <f t="shared" si="70"/>
        <v>939.78</v>
      </c>
      <c r="H2253" s="1" t="str">
        <f>_xlfn.XLOOKUP(C2253,Product!A:A,Product!B:B,"not found",0)</f>
        <v>Surly Ice Cream Truck Frameset - 2016</v>
      </c>
      <c r="I2253" s="1">
        <f t="shared" si="71"/>
        <v>939.78</v>
      </c>
    </row>
    <row r="2254" spans="1:9" x14ac:dyDescent="0.2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 s="1">
        <f t="shared" si="70"/>
        <v>1680.92</v>
      </c>
      <c r="H2254" s="1" t="str">
        <f>_xlfn.XLOOKUP(C2254,Product!A:A,Product!B:B,"not found",0)</f>
        <v>Surly Straggler 650b - 2016</v>
      </c>
      <c r="I2254" s="1">
        <f t="shared" si="71"/>
        <v>1680.92</v>
      </c>
    </row>
    <row r="2255" spans="1:9" x14ac:dyDescent="0.2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 s="1">
        <f t="shared" si="70"/>
        <v>416.94</v>
      </c>
      <c r="H2255" s="1" t="str">
        <f>_xlfn.XLOOKUP(C2255,Product!A:A,Product!B:B,"not found",0)</f>
        <v>Sun Bicycles Cruz 7 - 2017</v>
      </c>
      <c r="I2255" s="1">
        <f t="shared" si="71"/>
        <v>416.94</v>
      </c>
    </row>
    <row r="2256" spans="1:9" x14ac:dyDescent="0.2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 s="1">
        <f t="shared" si="70"/>
        <v>439.89</v>
      </c>
      <c r="H2256" s="1" t="str">
        <f>_xlfn.XLOOKUP(C2256,Product!A:A,Product!B:B,"not found",0)</f>
        <v>Electra Cruiser Lux 1 - 2017</v>
      </c>
      <c r="I2256" s="1">
        <f t="shared" si="71"/>
        <v>439.89</v>
      </c>
    </row>
    <row r="2257" spans="1:9" x14ac:dyDescent="0.2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 s="1">
        <f t="shared" si="70"/>
        <v>6399.9299999999994</v>
      </c>
      <c r="H2257" s="1" t="str">
        <f>_xlfn.XLOOKUP(C2257,Product!A:A,Product!B:B,"not found",0)</f>
        <v>Trek Domane SL Disc Frameset - 2017</v>
      </c>
      <c r="I2257" s="1">
        <f t="shared" si="71"/>
        <v>6399.9299999999994</v>
      </c>
    </row>
    <row r="2258" spans="1:9" x14ac:dyDescent="0.2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 s="1">
        <f t="shared" si="70"/>
        <v>6999.8799999999992</v>
      </c>
      <c r="H2258" s="1" t="str">
        <f>_xlfn.XLOOKUP(C2258,Product!A:A,Product!B:B,"not found",0)</f>
        <v>Trek Boone 7 - 2017</v>
      </c>
      <c r="I2258" s="1">
        <f t="shared" si="71"/>
        <v>6999.8799999999992</v>
      </c>
    </row>
    <row r="2259" spans="1:9" x14ac:dyDescent="0.2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 s="1">
        <f t="shared" si="70"/>
        <v>299.89</v>
      </c>
      <c r="H2259" s="1" t="str">
        <f>_xlfn.XLOOKUP(C2259,Product!A:A,Product!B:B,"not found",0)</f>
        <v>Electra Girl's Hawaii 1 (20-inch) - 2015/2016</v>
      </c>
      <c r="I2259" s="1">
        <f t="shared" si="71"/>
        <v>299.89</v>
      </c>
    </row>
    <row r="2260" spans="1:9" x14ac:dyDescent="0.2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 s="1">
        <f t="shared" si="70"/>
        <v>209.94</v>
      </c>
      <c r="H2260" s="1" t="str">
        <f>_xlfn.XLOOKUP(C2260,Product!A:A,Product!B:B,"not found",0)</f>
        <v>Trek Precaliber 16 Girls - 2017</v>
      </c>
      <c r="I2260" s="1">
        <f t="shared" si="71"/>
        <v>209.94</v>
      </c>
    </row>
    <row r="2261" spans="1:9" x14ac:dyDescent="0.2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 s="1">
        <f t="shared" si="70"/>
        <v>699.91</v>
      </c>
      <c r="H2261" s="1" t="str">
        <f>_xlfn.XLOOKUP(C2261,Product!A:A,Product!B:B,"not found",0)</f>
        <v>Trek Precaliber 24 (21-Speed) - Girls - 2017</v>
      </c>
      <c r="I2261" s="1">
        <f t="shared" si="71"/>
        <v>699.91</v>
      </c>
    </row>
    <row r="2262" spans="1:9" x14ac:dyDescent="0.2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 s="1">
        <f t="shared" si="70"/>
        <v>2299.79</v>
      </c>
      <c r="H2262" s="1" t="str">
        <f>_xlfn.XLOOKUP(C2262,Product!A:A,Product!B:B,"not found",0)</f>
        <v>Trek Fuel EX 5 27.5 Plus - 2017</v>
      </c>
      <c r="I2262" s="1">
        <f t="shared" si="71"/>
        <v>2299.79</v>
      </c>
    </row>
    <row r="2263" spans="1:9" x14ac:dyDescent="0.2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 s="1">
        <f t="shared" si="70"/>
        <v>1199.93</v>
      </c>
      <c r="H2263" s="1" t="str">
        <f>_xlfn.XLOOKUP(C2263,Product!A:A,Product!B:B,"not found",0)</f>
        <v>Electra Townie Original 7D EQ - 2016</v>
      </c>
      <c r="I2263" s="1">
        <f t="shared" si="71"/>
        <v>1199.93</v>
      </c>
    </row>
    <row r="2264" spans="1:9" x14ac:dyDescent="0.2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 s="1">
        <f t="shared" si="70"/>
        <v>2641.88</v>
      </c>
      <c r="H2264" s="1" t="str">
        <f>_xlfn.XLOOKUP(C2264,Product!A:A,Product!B:B,"not found",0)</f>
        <v>Heller Shagamaw Frame - 2016</v>
      </c>
      <c r="I2264" s="1">
        <f t="shared" si="71"/>
        <v>2641.88</v>
      </c>
    </row>
    <row r="2265" spans="1:9" x14ac:dyDescent="0.2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 s="1">
        <f t="shared" si="70"/>
        <v>939.93000000000006</v>
      </c>
      <c r="H2265" s="1" t="str">
        <f>_xlfn.XLOOKUP(C2265,Product!A:A,Product!B:B,"not found",0)</f>
        <v>Trek Session DH 27.5 Carbon Frameset - 2017</v>
      </c>
      <c r="I2265" s="1">
        <f t="shared" si="71"/>
        <v>939.93000000000006</v>
      </c>
    </row>
    <row r="2266" spans="1:9" x14ac:dyDescent="0.2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 s="1">
        <f t="shared" si="70"/>
        <v>1999.91</v>
      </c>
      <c r="H2266" s="1" t="str">
        <f>_xlfn.XLOOKUP(C2266,Product!A:A,Product!B:B,"not found",0)</f>
        <v>Trek X-Caliber 8 - 2017</v>
      </c>
      <c r="I2266" s="1">
        <f t="shared" si="71"/>
        <v>1999.91</v>
      </c>
    </row>
    <row r="2267" spans="1:9" x14ac:dyDescent="0.2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 s="1">
        <f t="shared" si="70"/>
        <v>3499.89</v>
      </c>
      <c r="H2267" s="1" t="str">
        <f>_xlfn.XLOOKUP(C2267,Product!A:A,Product!B:B,"not found",0)</f>
        <v>Trek Boone Race Shop Limited - 2017</v>
      </c>
      <c r="I2267" s="1">
        <f t="shared" si="71"/>
        <v>3499.89</v>
      </c>
    </row>
    <row r="2268" spans="1:9" x14ac:dyDescent="0.2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 s="1">
        <f t="shared" si="70"/>
        <v>9999.91</v>
      </c>
      <c r="H2268" s="1" t="str">
        <f>_xlfn.XLOOKUP(C2268,Product!A:A,Product!B:B,"not found",0)</f>
        <v>Trek Madone 9.2 - 2017</v>
      </c>
      <c r="I2268" s="1">
        <f t="shared" si="71"/>
        <v>9999.91</v>
      </c>
    </row>
    <row r="2269" spans="1:9" x14ac:dyDescent="0.2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 s="1">
        <f t="shared" si="70"/>
        <v>693.88</v>
      </c>
      <c r="H2269" s="1" t="str">
        <f>_xlfn.XLOOKUP(C2269,Product!A:A,Product!B:B,"not found",0)</f>
        <v>Sun Bicycles Lil Bolt Type-R - 2017</v>
      </c>
      <c r="I2269" s="1">
        <f t="shared" si="71"/>
        <v>693.88</v>
      </c>
    </row>
    <row r="2270" spans="1:9" x14ac:dyDescent="0.2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 s="1">
        <f t="shared" si="70"/>
        <v>3199.9199999999996</v>
      </c>
      <c r="H2270" s="1" t="str">
        <f>_xlfn.XLOOKUP(C2270,Product!A:A,Product!B:B,"not found",0)</f>
        <v>Trek Domane SL Disc Frameset - 2017</v>
      </c>
      <c r="I2270" s="1">
        <f t="shared" si="71"/>
        <v>3199.9199999999996</v>
      </c>
    </row>
    <row r="2271" spans="1:9" x14ac:dyDescent="0.2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 s="1">
        <f t="shared" si="70"/>
        <v>939.93000000000006</v>
      </c>
      <c r="H2271" s="1" t="str">
        <f>_xlfn.XLOOKUP(C2271,Product!A:A,Product!B:B,"not found",0)</f>
        <v>Surly Ice Cream Truck Frameset - 2016</v>
      </c>
      <c r="I2271" s="1">
        <f t="shared" si="71"/>
        <v>939.93000000000006</v>
      </c>
    </row>
    <row r="2272" spans="1:9" x14ac:dyDescent="0.2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 s="1">
        <f t="shared" si="70"/>
        <v>875.89</v>
      </c>
      <c r="H2272" s="1" t="str">
        <f>_xlfn.XLOOKUP(C2272,Product!A:A,Product!B:B,"not found",0)</f>
        <v>Surly Steamroller - 2017</v>
      </c>
      <c r="I2272" s="1">
        <f t="shared" si="71"/>
        <v>875.89</v>
      </c>
    </row>
    <row r="2273" spans="1:9" x14ac:dyDescent="0.2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 s="1">
        <f t="shared" si="70"/>
        <v>599.93000000000006</v>
      </c>
      <c r="H2273" s="1" t="str">
        <f>_xlfn.XLOOKUP(C2273,Product!A:A,Product!B:B,"not found",0)</f>
        <v>Electra Girl's Hawaii 1 16" - 2017</v>
      </c>
      <c r="I2273" s="1">
        <f t="shared" si="71"/>
        <v>599.93000000000006</v>
      </c>
    </row>
    <row r="2274" spans="1:9" x14ac:dyDescent="0.2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 s="1">
        <f t="shared" si="70"/>
        <v>339.92</v>
      </c>
      <c r="H2274" s="1" t="str">
        <f>_xlfn.XLOOKUP(C2274,Product!A:A,Product!B:B,"not found",0)</f>
        <v>Electra Townie 7D (20-inch) - Boys' - 2017</v>
      </c>
      <c r="I2274" s="1">
        <f t="shared" si="71"/>
        <v>339.92</v>
      </c>
    </row>
    <row r="2275" spans="1:9" x14ac:dyDescent="0.2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 s="1">
        <f t="shared" si="70"/>
        <v>999.94</v>
      </c>
      <c r="H2275" s="1" t="str">
        <f>_xlfn.XLOOKUP(C2275,Product!A:A,Product!B:B,"not found",0)</f>
        <v>Surly Ice Cream Truck Frameset - 2017</v>
      </c>
      <c r="I2275" s="1">
        <f t="shared" si="71"/>
        <v>999.94</v>
      </c>
    </row>
    <row r="2276" spans="1:9" x14ac:dyDescent="0.2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 s="1">
        <f t="shared" si="70"/>
        <v>1665.78</v>
      </c>
      <c r="H2276" s="1" t="str">
        <f>_xlfn.XLOOKUP(C2276,Product!A:A,Product!B:B,"not found",0)</f>
        <v>Surly Troll Frameset - 2017</v>
      </c>
      <c r="I2276" s="1">
        <f t="shared" si="71"/>
        <v>1665.78</v>
      </c>
    </row>
    <row r="2277" spans="1:9" x14ac:dyDescent="0.2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 s="1">
        <f t="shared" si="70"/>
        <v>4999.8899999999994</v>
      </c>
      <c r="H2277" s="1" t="str">
        <f>_xlfn.XLOOKUP(C2277,Product!A:A,Product!B:B,"not found",0)</f>
        <v>Trek Fuel EX 9.8 29 - 2017</v>
      </c>
      <c r="I2277" s="1">
        <f t="shared" si="71"/>
        <v>4999.8899999999994</v>
      </c>
    </row>
    <row r="2278" spans="1:9" x14ac:dyDescent="0.2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 s="1">
        <f t="shared" si="70"/>
        <v>2499.9399999999996</v>
      </c>
      <c r="H2278" s="1" t="str">
        <f>_xlfn.XLOOKUP(C2278,Product!A:A,Product!B:B,"not found",0)</f>
        <v>Surly Karate Monkey 27.5+ Frameset - 2017</v>
      </c>
      <c r="I2278" s="1">
        <f t="shared" si="71"/>
        <v>2499.9399999999996</v>
      </c>
    </row>
    <row r="2279" spans="1:9" x14ac:dyDescent="0.2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 s="1">
        <f t="shared" si="70"/>
        <v>470.92</v>
      </c>
      <c r="H2279" s="1" t="str">
        <f>_xlfn.XLOOKUP(C2279,Product!A:A,Product!B:B,"not found",0)</f>
        <v>Sun Bicycles Drifter 7 - Women's - 2017</v>
      </c>
      <c r="I2279" s="1">
        <f t="shared" si="71"/>
        <v>470.92</v>
      </c>
    </row>
    <row r="2280" spans="1:9" x14ac:dyDescent="0.2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 s="1">
        <f t="shared" si="70"/>
        <v>1751.93</v>
      </c>
      <c r="H2280" s="1" t="str">
        <f>_xlfn.XLOOKUP(C2280,Product!A:A,Product!B:B,"not found",0)</f>
        <v>Surly Steamroller - 2017</v>
      </c>
      <c r="I2280" s="1">
        <f t="shared" si="71"/>
        <v>1751.93</v>
      </c>
    </row>
    <row r="2281" spans="1:9" x14ac:dyDescent="0.2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 s="1">
        <f t="shared" si="70"/>
        <v>489.92</v>
      </c>
      <c r="H2281" s="1" t="str">
        <f>_xlfn.XLOOKUP(C2281,Product!A:A,Product!B:B,"not found",0)</f>
        <v>Electra Townie Original 7D - 2017</v>
      </c>
      <c r="I2281" s="1">
        <f t="shared" si="71"/>
        <v>489.92</v>
      </c>
    </row>
    <row r="2282" spans="1:9" x14ac:dyDescent="0.2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 s="1">
        <f t="shared" si="70"/>
        <v>299.93</v>
      </c>
      <c r="H2282" s="1" t="str">
        <f>_xlfn.XLOOKUP(C2282,Product!A:A,Product!B:B,"not found",0)</f>
        <v>Trek Boy's Kickster - 2015/2017</v>
      </c>
      <c r="I2282" s="1">
        <f t="shared" si="71"/>
        <v>299.93</v>
      </c>
    </row>
    <row r="2283" spans="1:9" x14ac:dyDescent="0.2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 s="1">
        <f t="shared" si="70"/>
        <v>419.78000000000003</v>
      </c>
      <c r="H2283" s="1" t="str">
        <f>_xlfn.XLOOKUP(C2283,Product!A:A,Product!B:B,"not found",0)</f>
        <v>Trek Precaliber 16 Boys - 2017</v>
      </c>
      <c r="I2283" s="1">
        <f t="shared" si="71"/>
        <v>419.78000000000003</v>
      </c>
    </row>
    <row r="2284" spans="1:9" x14ac:dyDescent="0.2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 s="1">
        <f t="shared" si="70"/>
        <v>749.92</v>
      </c>
      <c r="H2284" s="1" t="str">
        <f>_xlfn.XLOOKUP(C2284,Product!A:A,Product!B:B,"not found",0)</f>
        <v>Surly Ogre Frameset - 2017</v>
      </c>
      <c r="I2284" s="1">
        <f t="shared" si="71"/>
        <v>749.92</v>
      </c>
    </row>
    <row r="2285" spans="1:9" x14ac:dyDescent="0.2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 s="1">
        <f t="shared" si="70"/>
        <v>11999.93</v>
      </c>
      <c r="H2285" s="1" t="str">
        <f>_xlfn.XLOOKUP(C2285,Product!A:A,Product!B:B,"not found",0)</f>
        <v>Trek Silque SLR 7 Women's - 2017</v>
      </c>
      <c r="I2285" s="1">
        <f t="shared" si="71"/>
        <v>11999.93</v>
      </c>
    </row>
    <row r="2286" spans="1:9" x14ac:dyDescent="0.2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 s="1">
        <f t="shared" si="70"/>
        <v>549.94000000000005</v>
      </c>
      <c r="H2286" s="1" t="str">
        <f>_xlfn.XLOOKUP(C2286,Product!A:A,Product!B:B,"not found",0)</f>
        <v>Electra Townie Original 21D - 2016</v>
      </c>
      <c r="I2286" s="1">
        <f t="shared" si="71"/>
        <v>549.94000000000005</v>
      </c>
    </row>
    <row r="2287" spans="1:9" x14ac:dyDescent="0.2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 s="1">
        <f t="shared" si="70"/>
        <v>939.78</v>
      </c>
      <c r="H2287" s="1" t="str">
        <f>_xlfn.XLOOKUP(C2287,Product!A:A,Product!B:B,"not found",0)</f>
        <v>Surly Wednesday Frameset - 2017</v>
      </c>
      <c r="I2287" s="1">
        <f t="shared" si="71"/>
        <v>939.78</v>
      </c>
    </row>
    <row r="2288" spans="1:9" x14ac:dyDescent="0.2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 s="1">
        <f t="shared" si="70"/>
        <v>6999.78</v>
      </c>
      <c r="H2288" s="1" t="str">
        <f>_xlfn.XLOOKUP(C2288,Product!A:A,Product!B:B,"not found",0)</f>
        <v>Trek Boone 7 - 2017</v>
      </c>
      <c r="I2288" s="1">
        <f t="shared" si="71"/>
        <v>6999.78</v>
      </c>
    </row>
    <row r="2289" spans="1:9" x14ac:dyDescent="0.2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 s="1">
        <f t="shared" si="70"/>
        <v>469.92</v>
      </c>
      <c r="H2289" s="1" t="str">
        <f>_xlfn.XLOOKUP(C2289,Product!A:A,Product!B:B,"not found",0)</f>
        <v>Trek Farley Alloy Frameset - 2017</v>
      </c>
      <c r="I2289" s="1">
        <f t="shared" si="71"/>
        <v>469.92</v>
      </c>
    </row>
    <row r="2290" spans="1:9" x14ac:dyDescent="0.2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 s="1">
        <f t="shared" si="70"/>
        <v>939.93000000000006</v>
      </c>
      <c r="H2290" s="1" t="str">
        <f>_xlfn.XLOOKUP(C2290,Product!A:A,Product!B:B,"not found",0)</f>
        <v>Surly Ice Cream Truck Frameset - 2016</v>
      </c>
      <c r="I2290" s="1">
        <f t="shared" si="71"/>
        <v>939.93000000000006</v>
      </c>
    </row>
    <row r="2291" spans="1:9" x14ac:dyDescent="0.2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 s="1">
        <f t="shared" si="70"/>
        <v>419.88</v>
      </c>
      <c r="H2291" s="1" t="str">
        <f>_xlfn.XLOOKUP(C2291,Product!A:A,Product!B:B,"not found",0)</f>
        <v>Haro Shredder 20 Girls - 2017</v>
      </c>
      <c r="I2291" s="1">
        <f t="shared" si="71"/>
        <v>419.88</v>
      </c>
    </row>
    <row r="2292" spans="1:9" x14ac:dyDescent="0.2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 s="1">
        <f t="shared" si="70"/>
        <v>349.79</v>
      </c>
      <c r="H2292" s="1" t="str">
        <f>_xlfn.XLOOKUP(C2292,Product!A:A,Product!B:B,"not found",0)</f>
        <v>Electra Savannah 3i (20-inch) - Girl's - 2017</v>
      </c>
      <c r="I2292" s="1">
        <f t="shared" si="71"/>
        <v>349.79</v>
      </c>
    </row>
    <row r="2293" spans="1:9" x14ac:dyDescent="0.2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 s="1">
        <f t="shared" si="70"/>
        <v>1599.88</v>
      </c>
      <c r="H2293" s="1" t="str">
        <f>_xlfn.XLOOKUP(C2293,Product!A:A,Product!B:B,"not found",0)</f>
        <v>Electra Glam Punk 3i Ladies' - 2017</v>
      </c>
      <c r="I2293" s="1">
        <f t="shared" si="71"/>
        <v>1599.88</v>
      </c>
    </row>
    <row r="2294" spans="1:9" x14ac:dyDescent="0.2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 s="1">
        <f t="shared" si="70"/>
        <v>1319.78</v>
      </c>
      <c r="H2294" s="1" t="str">
        <f>_xlfn.XLOOKUP(C2294,Product!A:A,Product!B:B,"not found",0)</f>
        <v>Electra Amsterdam Original 3i Ladies' - 2017</v>
      </c>
      <c r="I2294" s="1">
        <f t="shared" si="71"/>
        <v>1319.78</v>
      </c>
    </row>
    <row r="2295" spans="1:9" x14ac:dyDescent="0.2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 s="1">
        <f t="shared" si="70"/>
        <v>699.91</v>
      </c>
      <c r="H2295" s="1" t="str">
        <f>_xlfn.XLOOKUP(C2295,Product!A:A,Product!B:B,"not found",0)</f>
        <v>Trek Precaliber 24 (21-Speed) - Girls - 2017</v>
      </c>
      <c r="I2295" s="1">
        <f t="shared" si="71"/>
        <v>699.91</v>
      </c>
    </row>
    <row r="2296" spans="1:9" x14ac:dyDescent="0.2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 s="1">
        <f t="shared" si="70"/>
        <v>539.78</v>
      </c>
      <c r="H2296" s="1" t="str">
        <f>_xlfn.XLOOKUP(C2296,Product!A:A,Product!B:B,"not found",0)</f>
        <v>Electra Cruiser 1 (24-Inch) - 2016</v>
      </c>
      <c r="I2296" s="1">
        <f t="shared" si="71"/>
        <v>539.78</v>
      </c>
    </row>
    <row r="2297" spans="1:9" x14ac:dyDescent="0.2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 s="1">
        <f t="shared" si="70"/>
        <v>469.92</v>
      </c>
      <c r="H2297" s="1" t="str">
        <f>_xlfn.XLOOKUP(C2297,Product!A:A,Product!B:B,"not found",0)</f>
        <v>Surly Ice Cream Truck Frameset - 2016</v>
      </c>
      <c r="I2297" s="1">
        <f t="shared" si="71"/>
        <v>469.92</v>
      </c>
    </row>
    <row r="2298" spans="1:9" x14ac:dyDescent="0.2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 s="1">
        <f t="shared" si="70"/>
        <v>1999.91</v>
      </c>
      <c r="H2298" s="1" t="str">
        <f>_xlfn.XLOOKUP(C2298,Product!A:A,Product!B:B,"not found",0)</f>
        <v>Surly Wednesday Frameset - 2016</v>
      </c>
      <c r="I2298" s="1">
        <f t="shared" si="71"/>
        <v>1999.91</v>
      </c>
    </row>
    <row r="2299" spans="1:9" x14ac:dyDescent="0.2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 s="1">
        <f t="shared" si="70"/>
        <v>5999.78</v>
      </c>
      <c r="H2299" s="1" t="str">
        <f>_xlfn.XLOOKUP(C2299,Product!A:A,Product!B:B,"not found",0)</f>
        <v>Trek Conduit+ - 2016</v>
      </c>
      <c r="I2299" s="1">
        <f t="shared" si="71"/>
        <v>5999.78</v>
      </c>
    </row>
    <row r="2300" spans="1:9" x14ac:dyDescent="0.2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 s="1">
        <f t="shared" si="70"/>
        <v>599.79</v>
      </c>
      <c r="H2300" s="1" t="str">
        <f>_xlfn.XLOOKUP(C2300,Product!A:A,Product!B:B,"not found",0)</f>
        <v>Electra Townie Original 7D EQ - 2016</v>
      </c>
      <c r="I2300" s="1">
        <f t="shared" si="71"/>
        <v>599.79</v>
      </c>
    </row>
    <row r="2301" spans="1:9" x14ac:dyDescent="0.2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 s="1">
        <f t="shared" si="70"/>
        <v>699.93000000000006</v>
      </c>
      <c r="H2301" s="1" t="str">
        <f>_xlfn.XLOOKUP(C2301,Product!A:A,Product!B:B,"not found",0)</f>
        <v>Electra Moto 3i (20-inch) - Boy's - 2017</v>
      </c>
      <c r="I2301" s="1">
        <f t="shared" si="71"/>
        <v>699.93000000000006</v>
      </c>
    </row>
    <row r="2302" spans="1:9" x14ac:dyDescent="0.2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 s="1">
        <f t="shared" si="70"/>
        <v>448.95</v>
      </c>
      <c r="H2302" s="1" t="str">
        <f>_xlfn.XLOOKUP(C2302,Product!A:A,Product!B:B,"not found",0)</f>
        <v>Pure Cycles Western 3-Speed - Women's - 2015/2016</v>
      </c>
      <c r="I2302" s="1">
        <f t="shared" si="71"/>
        <v>448.95</v>
      </c>
    </row>
    <row r="2303" spans="1:9" x14ac:dyDescent="0.2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 s="1">
        <f t="shared" si="70"/>
        <v>329.94</v>
      </c>
      <c r="H2303" s="1" t="str">
        <f>_xlfn.XLOOKUP(C2303,Product!A:A,Product!B:B,"not found",0)</f>
        <v>Haro Downtown 16 - 2017</v>
      </c>
      <c r="I2303" s="1">
        <f t="shared" si="71"/>
        <v>329.94</v>
      </c>
    </row>
    <row r="2304" spans="1:9" x14ac:dyDescent="0.2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 s="1">
        <f t="shared" si="70"/>
        <v>897.95</v>
      </c>
      <c r="H2304" s="1" t="str">
        <f>_xlfn.XLOOKUP(C2304,Product!A:A,Product!B:B,"not found",0)</f>
        <v>Pure Cycles William 3-Speed - 2016</v>
      </c>
      <c r="I2304" s="1">
        <f t="shared" si="71"/>
        <v>897.95</v>
      </c>
    </row>
    <row r="2305" spans="1:9" x14ac:dyDescent="0.2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 s="1">
        <f t="shared" si="70"/>
        <v>647.89</v>
      </c>
      <c r="H2305" s="1" t="str">
        <f>_xlfn.XLOOKUP(C2305,Product!A:A,Product!B:B,"not found",0)</f>
        <v>Sun Bicycles Biscayne Tandem CB - 2017</v>
      </c>
      <c r="I2305" s="1">
        <f t="shared" si="71"/>
        <v>647.89</v>
      </c>
    </row>
    <row r="2306" spans="1:9" x14ac:dyDescent="0.2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 s="1">
        <f t="shared" si="70"/>
        <v>599.79</v>
      </c>
      <c r="H2306" s="1" t="str">
        <f>_xlfn.XLOOKUP(C2306,Product!A:A,Product!B:B,"not found",0)</f>
        <v>Electra Townie Original 7D EQ - 2016</v>
      </c>
      <c r="I2306" s="1">
        <f t="shared" si="71"/>
        <v>599.79</v>
      </c>
    </row>
    <row r="2307" spans="1:9" x14ac:dyDescent="0.2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 s="1">
        <f t="shared" ref="G2307:G2370" si="72">(E2307*D2307)-F2307</f>
        <v>419.88</v>
      </c>
      <c r="H2307" s="1" t="str">
        <f>_xlfn.XLOOKUP(C2307,Product!A:A,Product!B:B,"not found",0)</f>
        <v>Haro Shredder 20 - 2017</v>
      </c>
      <c r="I2307" s="1">
        <f t="shared" ref="I2307:I2370" si="73">(D2307*E2307)-F2307</f>
        <v>419.88</v>
      </c>
    </row>
    <row r="2308" spans="1:9" x14ac:dyDescent="0.2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 s="1">
        <f t="shared" si="72"/>
        <v>1103.93</v>
      </c>
      <c r="H2308" s="1" t="str">
        <f>_xlfn.XLOOKUP(C2308,Product!A:A,Product!B:B,"not found",0)</f>
        <v>Sun Bicycles Streamway 3 - 2017</v>
      </c>
      <c r="I2308" s="1">
        <f t="shared" si="73"/>
        <v>1103.93</v>
      </c>
    </row>
    <row r="2309" spans="1:9" x14ac:dyDescent="0.2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 s="1">
        <f t="shared" si="72"/>
        <v>489.79</v>
      </c>
      <c r="H2309" s="1" t="str">
        <f>_xlfn.XLOOKUP(C2309,Product!A:A,Product!B:B,"not found",0)</f>
        <v>Electra Townie 3i EQ (20-inch) - Boys' - 2017</v>
      </c>
      <c r="I2309" s="1">
        <f t="shared" si="73"/>
        <v>489.79</v>
      </c>
    </row>
    <row r="2310" spans="1:9" x14ac:dyDescent="0.2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 s="1">
        <f t="shared" si="72"/>
        <v>5499.94</v>
      </c>
      <c r="H2310" s="1" t="str">
        <f>_xlfn.XLOOKUP(C2310,Product!A:A,Product!B:B,"not found",0)</f>
        <v>Trek Domane SLR 6 Disc - 2017</v>
      </c>
      <c r="I2310" s="1">
        <f t="shared" si="73"/>
        <v>5499.94</v>
      </c>
    </row>
    <row r="2311" spans="1:9" x14ac:dyDescent="0.2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 s="1">
        <f t="shared" si="72"/>
        <v>269.79000000000002</v>
      </c>
      <c r="H2311" s="1" t="str">
        <f>_xlfn.XLOOKUP(C2311,Product!A:A,Product!B:B,"not found",0)</f>
        <v>Electra Girl's Hawaii 1 (16-inch) - 2015/2016</v>
      </c>
      <c r="I2311" s="1">
        <f t="shared" si="73"/>
        <v>269.79000000000002</v>
      </c>
    </row>
    <row r="2312" spans="1:9" x14ac:dyDescent="0.2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 s="1">
        <f t="shared" si="72"/>
        <v>1739.91</v>
      </c>
      <c r="H2312" s="1" t="str">
        <f>_xlfn.XLOOKUP(C2312,Product!A:A,Product!B:B,"not found",0)</f>
        <v>Haro SR 1.2 - 2017</v>
      </c>
      <c r="I2312" s="1">
        <f t="shared" si="73"/>
        <v>1739.91</v>
      </c>
    </row>
    <row r="2313" spans="1:9" x14ac:dyDescent="0.2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 s="1">
        <f t="shared" si="72"/>
        <v>3199.79</v>
      </c>
      <c r="H2313" s="1" t="str">
        <f>_xlfn.XLOOKUP(C2313,Product!A:A,Product!B:B,"not found",0)</f>
        <v>Trek Domane SL Disc Frameset - 2017</v>
      </c>
      <c r="I2313" s="1">
        <f t="shared" si="73"/>
        <v>3199.79</v>
      </c>
    </row>
    <row r="2314" spans="1:9" x14ac:dyDescent="0.2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 s="1">
        <f t="shared" si="72"/>
        <v>659.92</v>
      </c>
      <c r="H2314" s="1" t="str">
        <f>_xlfn.XLOOKUP(C2314,Product!A:A,Product!B:B,"not found",0)</f>
        <v>Electra Amsterdam Original 3i - 2015/2017</v>
      </c>
      <c r="I2314" s="1">
        <f t="shared" si="73"/>
        <v>659.92</v>
      </c>
    </row>
    <row r="2315" spans="1:9" x14ac:dyDescent="0.2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 s="1">
        <f t="shared" si="72"/>
        <v>250.89000000000001</v>
      </c>
      <c r="H2315" s="1" t="str">
        <f>_xlfn.XLOOKUP(C2315,Product!A:A,Product!B:B,"not found",0)</f>
        <v>Sun Bicycles Revolutions 24 - 2017</v>
      </c>
      <c r="I2315" s="1">
        <f t="shared" si="73"/>
        <v>250.89000000000001</v>
      </c>
    </row>
    <row r="2316" spans="1:9" x14ac:dyDescent="0.2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 s="1">
        <f t="shared" si="72"/>
        <v>599.88</v>
      </c>
      <c r="H2316" s="1" t="str">
        <f>_xlfn.XLOOKUP(C2316,Product!A:A,Product!B:B,"not found",0)</f>
        <v>Electra Girl's Hawaii 1 16" - 2017</v>
      </c>
      <c r="I2316" s="1">
        <f t="shared" si="73"/>
        <v>599.88</v>
      </c>
    </row>
    <row r="2317" spans="1:9" x14ac:dyDescent="0.2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 s="1">
        <f t="shared" si="72"/>
        <v>4999.79</v>
      </c>
      <c r="H2317" s="1" t="str">
        <f>_xlfn.XLOOKUP(C2317,Product!A:A,Product!B:B,"not found",0)</f>
        <v>Trek Fuel EX 9.8 29 - 2017</v>
      </c>
      <c r="I2317" s="1">
        <f t="shared" si="73"/>
        <v>4999.79</v>
      </c>
    </row>
    <row r="2318" spans="1:9" x14ac:dyDescent="0.2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 s="1">
        <f t="shared" si="72"/>
        <v>699.88</v>
      </c>
      <c r="H2318" s="1" t="str">
        <f>_xlfn.XLOOKUP(C2318,Product!A:A,Product!B:B,"not found",0)</f>
        <v>Electra Moto 3i (20-inch) - Boy's - 2017</v>
      </c>
      <c r="I2318" s="1">
        <f t="shared" si="73"/>
        <v>699.88</v>
      </c>
    </row>
    <row r="2319" spans="1:9" x14ac:dyDescent="0.2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 s="1">
        <f t="shared" si="72"/>
        <v>659.78</v>
      </c>
      <c r="H2319" s="1" t="str">
        <f>_xlfn.XLOOKUP(C2319,Product!A:A,Product!B:B,"not found",0)</f>
        <v>Haro Downtown 16 - 2017</v>
      </c>
      <c r="I2319" s="1">
        <f t="shared" si="73"/>
        <v>659.78</v>
      </c>
    </row>
    <row r="2320" spans="1:9" x14ac:dyDescent="0.2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 s="1">
        <f t="shared" si="72"/>
        <v>939.78</v>
      </c>
      <c r="H2320" s="1" t="str">
        <f>_xlfn.XLOOKUP(C2320,Product!A:A,Product!B:B,"not found",0)</f>
        <v>Surly Wednesday Frameset - 2017</v>
      </c>
      <c r="I2320" s="1">
        <f t="shared" si="73"/>
        <v>939.78</v>
      </c>
    </row>
    <row r="2321" spans="1:9" x14ac:dyDescent="0.2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 s="1">
        <f t="shared" si="72"/>
        <v>1199.9100000000001</v>
      </c>
      <c r="H2321" s="1" t="str">
        <f>_xlfn.XLOOKUP(C2321,Product!A:A,Product!B:B,"not found",0)</f>
        <v>Electra Townie Original 7D EQ - 2016</v>
      </c>
      <c r="I2321" s="1">
        <f t="shared" si="73"/>
        <v>1199.9100000000001</v>
      </c>
    </row>
    <row r="2322" spans="1:9" x14ac:dyDescent="0.2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 s="1">
        <f t="shared" si="72"/>
        <v>833.93000000000006</v>
      </c>
      <c r="H2322" s="1" t="str">
        <f>_xlfn.XLOOKUP(C2322,Product!A:A,Product!B:B,"not found",0)</f>
        <v>Sun Bicycles Atlas X-Type - 2017</v>
      </c>
      <c r="I2322" s="1">
        <f t="shared" si="73"/>
        <v>833.93000000000006</v>
      </c>
    </row>
    <row r="2323" spans="1:9" x14ac:dyDescent="0.2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 s="1">
        <f t="shared" si="72"/>
        <v>833.88</v>
      </c>
      <c r="H2323" s="1" t="str">
        <f>_xlfn.XLOOKUP(C2323,Product!A:A,Product!B:B,"not found",0)</f>
        <v>Sun Bicycles Cruz 7 - 2017</v>
      </c>
      <c r="I2323" s="1">
        <f t="shared" si="73"/>
        <v>833.88</v>
      </c>
    </row>
    <row r="2324" spans="1:9" x14ac:dyDescent="0.2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 s="1">
        <f t="shared" si="72"/>
        <v>489.89</v>
      </c>
      <c r="H2324" s="1" t="str">
        <f>_xlfn.XLOOKUP(C2324,Product!A:A,Product!B:B,"not found",0)</f>
        <v>Electra Townie 3i EQ (20-inch) - Boys' - 2017</v>
      </c>
      <c r="I2324" s="1">
        <f t="shared" si="73"/>
        <v>489.89</v>
      </c>
    </row>
    <row r="2325" spans="1:9" x14ac:dyDescent="0.2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 s="1">
        <f t="shared" si="72"/>
        <v>346.79</v>
      </c>
      <c r="H2325" s="1" t="str">
        <f>_xlfn.XLOOKUP(C2325,Product!A:A,Product!B:B,"not found",0)</f>
        <v>Sun Bicycles Lil Bolt Type-R - 2017</v>
      </c>
      <c r="I2325" s="1">
        <f t="shared" si="73"/>
        <v>346.79</v>
      </c>
    </row>
    <row r="2326" spans="1:9" x14ac:dyDescent="0.2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 s="1">
        <f t="shared" si="72"/>
        <v>299.93</v>
      </c>
      <c r="H2326" s="1" t="str">
        <f>_xlfn.XLOOKUP(C2326,Product!A:A,Product!B:B,"not found",0)</f>
        <v>Trek Boy's Kickster - 2015/2017</v>
      </c>
      <c r="I2326" s="1">
        <f t="shared" si="73"/>
        <v>299.93</v>
      </c>
    </row>
    <row r="2327" spans="1:9" x14ac:dyDescent="0.2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 s="1">
        <f t="shared" si="72"/>
        <v>1067.78</v>
      </c>
      <c r="H2327" s="1" t="str">
        <f>_xlfn.XLOOKUP(C2327,Product!A:A,Product!B:B,"not found",0)</f>
        <v>Sun Bicycles Streamway 7 - 2017</v>
      </c>
      <c r="I2327" s="1">
        <f t="shared" si="73"/>
        <v>1067.78</v>
      </c>
    </row>
    <row r="2328" spans="1:9" x14ac:dyDescent="0.2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 s="1">
        <f t="shared" si="72"/>
        <v>979.78</v>
      </c>
      <c r="H2328" s="1" t="str">
        <f>_xlfn.XLOOKUP(C2328,Product!A:A,Product!B:B,"not found",0)</f>
        <v>Electra Townie Original 7D - 2017</v>
      </c>
      <c r="I2328" s="1">
        <f t="shared" si="73"/>
        <v>979.78</v>
      </c>
    </row>
    <row r="2329" spans="1:9" x14ac:dyDescent="0.2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 s="1">
        <f t="shared" si="72"/>
        <v>379.88</v>
      </c>
      <c r="H2329" s="1" t="str">
        <f>_xlfn.XLOOKUP(C2329,Product!A:A,Product!B:B,"not found",0)</f>
        <v>Trek Precaliber 12 Boys - 2017</v>
      </c>
      <c r="I2329" s="1">
        <f t="shared" si="73"/>
        <v>379.88</v>
      </c>
    </row>
    <row r="2330" spans="1:9" x14ac:dyDescent="0.2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 s="1">
        <f t="shared" si="72"/>
        <v>299.92</v>
      </c>
      <c r="H2330" s="1" t="str">
        <f>_xlfn.XLOOKUP(C2330,Product!A:A,Product!B:B,"not found",0)</f>
        <v>Electra Girl's Hawaii 1 (20-inch) - 2015/2016</v>
      </c>
      <c r="I2330" s="1">
        <f t="shared" si="73"/>
        <v>299.92</v>
      </c>
    </row>
    <row r="2331" spans="1:9" x14ac:dyDescent="0.2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 s="1">
        <f t="shared" si="72"/>
        <v>1199.8800000000001</v>
      </c>
      <c r="H2331" s="1" t="str">
        <f>_xlfn.XLOOKUP(C2331,Product!A:A,Product!B:B,"not found",0)</f>
        <v>Electra Cruiser Lux Fat Tire 1 Ladies - 2017</v>
      </c>
      <c r="I2331" s="1">
        <f t="shared" si="73"/>
        <v>1199.8800000000001</v>
      </c>
    </row>
    <row r="2332" spans="1:9" x14ac:dyDescent="0.2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 s="1">
        <f t="shared" si="72"/>
        <v>979.78</v>
      </c>
      <c r="H2332" s="1" t="str">
        <f>_xlfn.XLOOKUP(C2332,Product!A:A,Product!B:B,"not found",0)</f>
        <v>Electra Townie Original 7D - 2017</v>
      </c>
      <c r="I2332" s="1">
        <f t="shared" si="73"/>
        <v>979.78</v>
      </c>
    </row>
    <row r="2333" spans="1:9" x14ac:dyDescent="0.2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 s="1">
        <f t="shared" si="72"/>
        <v>329.94</v>
      </c>
      <c r="H2333" s="1" t="str">
        <f>_xlfn.XLOOKUP(C2333,Product!A:A,Product!B:B,"not found",0)</f>
        <v>Haro Downtown 16 - 2017</v>
      </c>
      <c r="I2333" s="1">
        <f t="shared" si="73"/>
        <v>329.94</v>
      </c>
    </row>
    <row r="2334" spans="1:9" x14ac:dyDescent="0.2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 s="1">
        <f t="shared" si="72"/>
        <v>1067.9100000000001</v>
      </c>
      <c r="H2334" s="1" t="str">
        <f>_xlfn.XLOOKUP(C2334,Product!A:A,Product!B:B,"not found",0)</f>
        <v>Sun Bicycles Streamway 7 - 2017</v>
      </c>
      <c r="I2334" s="1">
        <f t="shared" si="73"/>
        <v>1067.9100000000001</v>
      </c>
    </row>
    <row r="2335" spans="1:9" x14ac:dyDescent="0.2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 s="1">
        <f t="shared" si="72"/>
        <v>2999.93</v>
      </c>
      <c r="H2335" s="1" t="str">
        <f>_xlfn.XLOOKUP(C2335,Product!A:A,Product!B:B,"not found",0)</f>
        <v>Trek Emonda S 4 - 2017</v>
      </c>
      <c r="I2335" s="1">
        <f t="shared" si="73"/>
        <v>2999.93</v>
      </c>
    </row>
    <row r="2336" spans="1:9" x14ac:dyDescent="0.2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 s="1">
        <f t="shared" si="72"/>
        <v>551.94000000000005</v>
      </c>
      <c r="H2336" s="1" t="str">
        <f>_xlfn.XLOOKUP(C2336,Product!A:A,Product!B:B,"not found",0)</f>
        <v>Sun Bicycles Streamway 3 - 2017</v>
      </c>
      <c r="I2336" s="1">
        <f t="shared" si="73"/>
        <v>551.94000000000005</v>
      </c>
    </row>
    <row r="2337" spans="1:9" x14ac:dyDescent="0.2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 s="1">
        <f t="shared" si="72"/>
        <v>1079.9100000000001</v>
      </c>
      <c r="H2337" s="1" t="str">
        <f>_xlfn.XLOOKUP(C2337,Product!A:A,Product!B:B,"not found",0)</f>
        <v>Haro SR 1.1 - 2017</v>
      </c>
      <c r="I2337" s="1">
        <f t="shared" si="73"/>
        <v>1079.9100000000001</v>
      </c>
    </row>
    <row r="2338" spans="1:9" x14ac:dyDescent="0.2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 s="1">
        <f t="shared" si="72"/>
        <v>897.95</v>
      </c>
      <c r="H2338" s="1" t="str">
        <f>_xlfn.XLOOKUP(C2338,Product!A:A,Product!B:B,"not found",0)</f>
        <v>Pure Cycles William 3-Speed - 2016</v>
      </c>
      <c r="I2338" s="1">
        <f t="shared" si="73"/>
        <v>897.95</v>
      </c>
    </row>
    <row r="2339" spans="1:9" x14ac:dyDescent="0.2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 s="1">
        <f t="shared" si="72"/>
        <v>2999.93</v>
      </c>
      <c r="H2339" s="1" t="str">
        <f>_xlfn.XLOOKUP(C2339,Product!A:A,Product!B:B,"not found",0)</f>
        <v>Trek Emonda S 4 - 2017</v>
      </c>
      <c r="I2339" s="1">
        <f t="shared" si="73"/>
        <v>2999.93</v>
      </c>
    </row>
    <row r="2340" spans="1:9" x14ac:dyDescent="0.2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 s="1">
        <f t="shared" si="72"/>
        <v>249.79000000000002</v>
      </c>
      <c r="H2340" s="1" t="str">
        <f>_xlfn.XLOOKUP(C2340,Product!A:A,Product!B:B,"not found",0)</f>
        <v>Haro Shredder Pro 20 - 2017</v>
      </c>
      <c r="I2340" s="1">
        <f t="shared" si="73"/>
        <v>249.79000000000002</v>
      </c>
    </row>
    <row r="2341" spans="1:9" x14ac:dyDescent="0.2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 s="1">
        <f t="shared" si="72"/>
        <v>416.94</v>
      </c>
      <c r="H2341" s="1" t="str">
        <f>_xlfn.XLOOKUP(C2341,Product!A:A,Product!B:B,"not found",0)</f>
        <v>Sun Bicycles Cruz 7 - 2017</v>
      </c>
      <c r="I2341" s="1">
        <f t="shared" si="73"/>
        <v>416.94</v>
      </c>
    </row>
    <row r="2342" spans="1:9" x14ac:dyDescent="0.2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 s="1">
        <f t="shared" si="72"/>
        <v>489.92</v>
      </c>
      <c r="H2342" s="1" t="str">
        <f>_xlfn.XLOOKUP(C2342,Product!A:A,Product!B:B,"not found",0)</f>
        <v>Electra Townie Original 7D - 2017</v>
      </c>
      <c r="I2342" s="1">
        <f t="shared" si="73"/>
        <v>489.92</v>
      </c>
    </row>
    <row r="2343" spans="1:9" x14ac:dyDescent="0.2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 s="1">
        <f t="shared" si="72"/>
        <v>1319.78</v>
      </c>
      <c r="H2343" s="1" t="str">
        <f>_xlfn.XLOOKUP(C2343,Product!A:A,Product!B:B,"not found",0)</f>
        <v>Electra Amsterdam Original 3i - 2015/2017</v>
      </c>
      <c r="I2343" s="1">
        <f t="shared" si="73"/>
        <v>1319.78</v>
      </c>
    </row>
    <row r="2344" spans="1:9" x14ac:dyDescent="0.2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 s="1">
        <f t="shared" si="72"/>
        <v>469.79</v>
      </c>
      <c r="H2344" s="1" t="str">
        <f>_xlfn.XLOOKUP(C2344,Product!A:A,Product!B:B,"not found",0)</f>
        <v>Surly Ice Cream Truck Frameset - 2016</v>
      </c>
      <c r="I2344" s="1">
        <f t="shared" si="73"/>
        <v>469.79</v>
      </c>
    </row>
    <row r="2345" spans="1:9" x14ac:dyDescent="0.2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 s="1">
        <f t="shared" si="72"/>
        <v>416.94</v>
      </c>
      <c r="H2345" s="1" t="str">
        <f>_xlfn.XLOOKUP(C2345,Product!A:A,Product!B:B,"not found",0)</f>
        <v>Sun Bicycles Cruz 7 - 2017</v>
      </c>
      <c r="I2345" s="1">
        <f t="shared" si="73"/>
        <v>416.94</v>
      </c>
    </row>
    <row r="2346" spans="1:9" x14ac:dyDescent="0.2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 s="1">
        <f t="shared" si="72"/>
        <v>749.94</v>
      </c>
      <c r="H2346" s="1" t="str">
        <f>_xlfn.XLOOKUP(C2346,Product!A:A,Product!B:B,"not found",0)</f>
        <v>Surly Ogre Frameset - 2017</v>
      </c>
      <c r="I2346" s="1">
        <f t="shared" si="73"/>
        <v>749.94</v>
      </c>
    </row>
    <row r="2347" spans="1:9" x14ac:dyDescent="0.2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 s="1">
        <f t="shared" si="72"/>
        <v>619.79</v>
      </c>
      <c r="H2347" s="1" t="str">
        <f>_xlfn.XLOOKUP(C2347,Product!A:A,Product!B:B,"not found",0)</f>
        <v>Sun Bicycles Biscayne Tandem 7 - 2017</v>
      </c>
      <c r="I2347" s="1">
        <f t="shared" si="73"/>
        <v>619.79</v>
      </c>
    </row>
    <row r="2348" spans="1:9" x14ac:dyDescent="0.2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 s="1">
        <f t="shared" si="72"/>
        <v>10999.91</v>
      </c>
      <c r="H2348" s="1" t="str">
        <f>_xlfn.XLOOKUP(C2348,Product!A:A,Product!B:B,"not found",0)</f>
        <v>Trek Domane SLR 6 Disc - 2017</v>
      </c>
      <c r="I2348" s="1">
        <f t="shared" si="73"/>
        <v>10999.91</v>
      </c>
    </row>
    <row r="2349" spans="1:9" x14ac:dyDescent="0.2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 s="1">
        <f t="shared" si="72"/>
        <v>299.78000000000003</v>
      </c>
      <c r="H2349" s="1" t="str">
        <f>_xlfn.XLOOKUP(C2349,Product!A:A,Product!B:B,"not found",0)</f>
        <v>Trek Girl's Kickster - 2017</v>
      </c>
      <c r="I2349" s="1">
        <f t="shared" si="73"/>
        <v>299.78000000000003</v>
      </c>
    </row>
    <row r="2350" spans="1:9" x14ac:dyDescent="0.2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 s="1">
        <f t="shared" si="72"/>
        <v>1099.79</v>
      </c>
      <c r="H2350" s="1" t="str">
        <f>_xlfn.XLOOKUP(C2350,Product!A:A,Product!B:B,"not found",0)</f>
        <v>Electra Amsterdam Fashion 7i Ladies' - 2017</v>
      </c>
      <c r="I2350" s="1">
        <f t="shared" si="73"/>
        <v>1099.79</v>
      </c>
    </row>
    <row r="2351" spans="1:9" x14ac:dyDescent="0.2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 s="1">
        <f t="shared" si="72"/>
        <v>419.88</v>
      </c>
      <c r="H2351" s="1" t="str">
        <f>_xlfn.XLOOKUP(C2351,Product!A:A,Product!B:B,"not found",0)</f>
        <v>Haro Shredder 20 - 2017</v>
      </c>
      <c r="I2351" s="1">
        <f t="shared" si="73"/>
        <v>419.88</v>
      </c>
    </row>
    <row r="2352" spans="1:9" x14ac:dyDescent="0.2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 s="1">
        <f t="shared" si="72"/>
        <v>448.9</v>
      </c>
      <c r="H2352" s="1" t="str">
        <f>_xlfn.XLOOKUP(C2352,Product!A:A,Product!B:B,"not found",0)</f>
        <v>Pure Cycles William 3-Speed - 2016</v>
      </c>
      <c r="I2352" s="1">
        <f t="shared" si="73"/>
        <v>448.9</v>
      </c>
    </row>
    <row r="2353" spans="1:9" x14ac:dyDescent="0.2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 s="1">
        <f t="shared" si="72"/>
        <v>1999.78</v>
      </c>
      <c r="H2353" s="1" t="str">
        <f>_xlfn.XLOOKUP(C2353,Product!A:A,Product!B:B,"not found",0)</f>
        <v>Surly Ice Cream Truck Frameset - 2017</v>
      </c>
      <c r="I2353" s="1">
        <f t="shared" si="73"/>
        <v>1999.78</v>
      </c>
    </row>
    <row r="2354" spans="1:9" x14ac:dyDescent="0.2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 s="1">
        <f t="shared" si="72"/>
        <v>1739.78</v>
      </c>
      <c r="H2354" s="1" t="str">
        <f>_xlfn.XLOOKUP(C2354,Product!A:A,Product!B:B,"not found",0)</f>
        <v>Haro SR 1.2 - 2017</v>
      </c>
      <c r="I2354" s="1">
        <f t="shared" si="73"/>
        <v>1739.78</v>
      </c>
    </row>
    <row r="2355" spans="1:9" x14ac:dyDescent="0.2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 s="1">
        <f t="shared" si="72"/>
        <v>832.89</v>
      </c>
      <c r="H2355" s="1" t="str">
        <f>_xlfn.XLOOKUP(C2355,Product!A:A,Product!B:B,"not found",0)</f>
        <v>Surly Troll Frameset - 2017</v>
      </c>
      <c r="I2355" s="1">
        <f t="shared" si="73"/>
        <v>832.89</v>
      </c>
    </row>
    <row r="2356" spans="1:9" x14ac:dyDescent="0.2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 s="1">
        <f t="shared" si="72"/>
        <v>5299.94</v>
      </c>
      <c r="H2356" s="1" t="str">
        <f>_xlfn.XLOOKUP(C2356,Product!A:A,Product!B:B,"not found",0)</f>
        <v>Trek Fuel EX 9.8 27.5 Plus - 2017</v>
      </c>
      <c r="I2356" s="1">
        <f t="shared" si="73"/>
        <v>5299.94</v>
      </c>
    </row>
    <row r="2357" spans="1:9" x14ac:dyDescent="0.2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 s="1">
        <f t="shared" si="72"/>
        <v>1469.79</v>
      </c>
      <c r="H2357" s="1" t="str">
        <f>_xlfn.XLOOKUP(C2357,Product!A:A,Product!B:B,"not found",0)</f>
        <v>Haro Shift R3 - 2017</v>
      </c>
      <c r="I2357" s="1">
        <f t="shared" si="73"/>
        <v>1469.79</v>
      </c>
    </row>
    <row r="2358" spans="1:9" x14ac:dyDescent="0.2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 s="1">
        <f t="shared" si="72"/>
        <v>2499.79</v>
      </c>
      <c r="H2358" s="1" t="str">
        <f>_xlfn.XLOOKUP(C2358,Product!A:A,Product!B:B,"not found",0)</f>
        <v>Surly Karate Monkey 27.5+ Frameset - 2017</v>
      </c>
      <c r="I2358" s="1">
        <f t="shared" si="73"/>
        <v>2499.79</v>
      </c>
    </row>
    <row r="2359" spans="1:9" x14ac:dyDescent="0.2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 s="1">
        <f t="shared" si="72"/>
        <v>449.79</v>
      </c>
      <c r="H2359" s="1" t="str">
        <f>_xlfn.XLOOKUP(C2359,Product!A:A,Product!B:B,"not found",0)</f>
        <v>Sun Bicycles Cruz 3 - Women's - 2017</v>
      </c>
      <c r="I2359" s="1">
        <f t="shared" si="73"/>
        <v>449.79</v>
      </c>
    </row>
    <row r="2360" spans="1:9" x14ac:dyDescent="0.2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 s="1">
        <f t="shared" si="72"/>
        <v>999.78</v>
      </c>
      <c r="H2360" s="1" t="str">
        <f>_xlfn.XLOOKUP(C2360,Product!A:A,Product!B:B,"not found",0)</f>
        <v>Electra Townie Original 7D - 2015/2016</v>
      </c>
      <c r="I2360" s="1">
        <f t="shared" si="73"/>
        <v>999.78</v>
      </c>
    </row>
    <row r="2361" spans="1:9" x14ac:dyDescent="0.2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 s="1">
        <f t="shared" si="72"/>
        <v>549.79</v>
      </c>
      <c r="H2361" s="1" t="str">
        <f>_xlfn.XLOOKUP(C2361,Product!A:A,Product!B:B,"not found",0)</f>
        <v>Electra Townie Original 21D - 2016</v>
      </c>
      <c r="I2361" s="1">
        <f t="shared" si="73"/>
        <v>549.79</v>
      </c>
    </row>
    <row r="2362" spans="1:9" x14ac:dyDescent="0.2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 s="1">
        <f t="shared" si="72"/>
        <v>5399.91</v>
      </c>
      <c r="H2362" s="1" t="str">
        <f>_xlfn.XLOOKUP(C2362,Product!A:A,Product!B:B,"not found",0)</f>
        <v>Trek Domane S 6 - 2017</v>
      </c>
      <c r="I2362" s="1">
        <f t="shared" si="73"/>
        <v>5399.91</v>
      </c>
    </row>
    <row r="2363" spans="1:9" x14ac:dyDescent="0.2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 s="1">
        <f t="shared" si="72"/>
        <v>551.79</v>
      </c>
      <c r="H2363" s="1" t="str">
        <f>_xlfn.XLOOKUP(C2363,Product!A:A,Product!B:B,"not found",0)</f>
        <v>Sun Bicycles Streamway 3 - 2017</v>
      </c>
      <c r="I2363" s="1">
        <f t="shared" si="73"/>
        <v>551.79</v>
      </c>
    </row>
    <row r="2364" spans="1:9" x14ac:dyDescent="0.2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 s="1">
        <f t="shared" si="72"/>
        <v>1067.8800000000001</v>
      </c>
      <c r="H2364" s="1" t="str">
        <f>_xlfn.XLOOKUP(C2364,Product!A:A,Product!B:B,"not found",0)</f>
        <v>Sun Bicycles Streamway 7 - 2017</v>
      </c>
      <c r="I2364" s="1">
        <f t="shared" si="73"/>
        <v>1067.8800000000001</v>
      </c>
    </row>
    <row r="2365" spans="1:9" x14ac:dyDescent="0.2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 s="1">
        <f t="shared" si="72"/>
        <v>659.78</v>
      </c>
      <c r="H2365" s="1" t="str">
        <f>_xlfn.XLOOKUP(C2365,Product!A:A,Product!B:B,"not found",0)</f>
        <v>Haro Downtown 16 - 2017</v>
      </c>
      <c r="I2365" s="1">
        <f t="shared" si="73"/>
        <v>659.78</v>
      </c>
    </row>
    <row r="2366" spans="1:9" x14ac:dyDescent="0.2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 s="1">
        <f t="shared" si="72"/>
        <v>979.91</v>
      </c>
      <c r="H2366" s="1" t="str">
        <f>_xlfn.XLOOKUP(C2366,Product!A:A,Product!B:B,"not found",0)</f>
        <v>Electra Townie 3i EQ (20-inch) - Boys' - 2017</v>
      </c>
      <c r="I2366" s="1">
        <f t="shared" si="73"/>
        <v>979.91</v>
      </c>
    </row>
    <row r="2367" spans="1:9" x14ac:dyDescent="0.2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 s="1">
        <f t="shared" si="72"/>
        <v>699.78</v>
      </c>
      <c r="H2367" s="1" t="str">
        <f>_xlfn.XLOOKUP(C2367,Product!A:A,Product!B:B,"not found",0)</f>
        <v>Electra Moto 3i (20-inch) - Boy's - 2017</v>
      </c>
      <c r="I2367" s="1">
        <f t="shared" si="73"/>
        <v>699.78</v>
      </c>
    </row>
    <row r="2368" spans="1:9" x14ac:dyDescent="0.2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 s="1">
        <f t="shared" si="72"/>
        <v>250.79000000000002</v>
      </c>
      <c r="H2368" s="1" t="str">
        <f>_xlfn.XLOOKUP(C2368,Product!A:A,Product!B:B,"not found",0)</f>
        <v>Sun Bicycles Revolutions 24 - Girl's - 2017</v>
      </c>
      <c r="I2368" s="1">
        <f t="shared" si="73"/>
        <v>250.79000000000002</v>
      </c>
    </row>
    <row r="2369" spans="1:9" x14ac:dyDescent="0.2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 s="1">
        <f t="shared" si="72"/>
        <v>1680.79</v>
      </c>
      <c r="H2369" s="1" t="str">
        <f>_xlfn.XLOOKUP(C2369,Product!A:A,Product!B:B,"not found",0)</f>
        <v>Surly Straggler 650b - 2016</v>
      </c>
      <c r="I2369" s="1">
        <f t="shared" si="73"/>
        <v>1680.79</v>
      </c>
    </row>
    <row r="2370" spans="1:9" x14ac:dyDescent="0.2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 s="1">
        <f t="shared" si="72"/>
        <v>449.89</v>
      </c>
      <c r="H2370" s="1" t="str">
        <f>_xlfn.XLOOKUP(C2370,Product!A:A,Product!B:B,"not found",0)</f>
        <v>Sun Bicycles Cruz 3 - 2017</v>
      </c>
      <c r="I2370" s="1">
        <f t="shared" si="73"/>
        <v>449.89</v>
      </c>
    </row>
    <row r="2371" spans="1:9" x14ac:dyDescent="0.2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 s="1">
        <f t="shared" ref="G2371:G2434" si="74">(E2371*D2371)-F2371</f>
        <v>3199.9399999999996</v>
      </c>
      <c r="H2371" s="1" t="str">
        <f>_xlfn.XLOOKUP(C2371,Product!A:A,Product!B:B,"not found",0)</f>
        <v>Trek Domane SL Disc Frameset - 2017</v>
      </c>
      <c r="I2371" s="1">
        <f t="shared" ref="I2371:I2434" si="75">(D2371*E2371)-F2371</f>
        <v>3199.9399999999996</v>
      </c>
    </row>
    <row r="2372" spans="1:9" x14ac:dyDescent="0.2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 s="1">
        <f t="shared" si="74"/>
        <v>869.79</v>
      </c>
      <c r="H2372" s="1" t="str">
        <f>_xlfn.XLOOKUP(C2372,Product!A:A,Product!B:B,"not found",0)</f>
        <v>Haro SR 1.2 - 2017</v>
      </c>
      <c r="I2372" s="1">
        <f t="shared" si="75"/>
        <v>869.79</v>
      </c>
    </row>
    <row r="2373" spans="1:9" x14ac:dyDescent="0.2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 s="1">
        <f t="shared" si="74"/>
        <v>999.92</v>
      </c>
      <c r="H2373" s="1" t="str">
        <f>_xlfn.XLOOKUP(C2373,Product!A:A,Product!B:B,"not found",0)</f>
        <v>Surly Big Dummy Frameset - 2017</v>
      </c>
      <c r="I2373" s="1">
        <f t="shared" si="75"/>
        <v>999.92</v>
      </c>
    </row>
    <row r="2374" spans="1:9" x14ac:dyDescent="0.2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 s="1">
        <f t="shared" si="74"/>
        <v>1199.8800000000001</v>
      </c>
      <c r="H2374" s="1" t="str">
        <f>_xlfn.XLOOKUP(C2374,Product!A:A,Product!B:B,"not found",0)</f>
        <v>Electra Townie Original 7D EQ - 2016</v>
      </c>
      <c r="I2374" s="1">
        <f t="shared" si="75"/>
        <v>1199.8800000000001</v>
      </c>
    </row>
    <row r="2375" spans="1:9" x14ac:dyDescent="0.2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 s="1">
        <f t="shared" si="74"/>
        <v>1199.93</v>
      </c>
      <c r="H2375" s="1" t="str">
        <f>_xlfn.XLOOKUP(C2375,Product!A:A,Product!B:B,"not found",0)</f>
        <v>Electra Townie Original 7D EQ - Women's - 2016</v>
      </c>
      <c r="I2375" s="1">
        <f t="shared" si="75"/>
        <v>1199.93</v>
      </c>
    </row>
    <row r="2376" spans="1:9" x14ac:dyDescent="0.2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 s="1">
        <f t="shared" si="74"/>
        <v>3199.9199999999996</v>
      </c>
      <c r="H2376" s="1" t="str">
        <f>_xlfn.XLOOKUP(C2376,Product!A:A,Product!B:B,"not found",0)</f>
        <v>Trek Domane SL Disc Frameset - 2017</v>
      </c>
      <c r="I2376" s="1">
        <f t="shared" si="75"/>
        <v>3199.9199999999996</v>
      </c>
    </row>
    <row r="2377" spans="1:9" x14ac:dyDescent="0.2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 s="1">
        <f t="shared" si="74"/>
        <v>269.94</v>
      </c>
      <c r="H2377" s="1" t="str">
        <f>_xlfn.XLOOKUP(C2377,Product!A:A,Product!B:B,"not found",0)</f>
        <v>Electra Cruiser 1 (24-Inch) - 2016</v>
      </c>
      <c r="I2377" s="1">
        <f t="shared" si="75"/>
        <v>269.94</v>
      </c>
    </row>
    <row r="2378" spans="1:9" x14ac:dyDescent="0.2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 s="1">
        <f t="shared" si="74"/>
        <v>647.79</v>
      </c>
      <c r="H2378" s="1" t="str">
        <f>_xlfn.XLOOKUP(C2378,Product!A:A,Product!B:B,"not found",0)</f>
        <v>Sun Bicycles Biscayne Tandem CB - 2017</v>
      </c>
      <c r="I2378" s="1">
        <f t="shared" si="75"/>
        <v>647.79</v>
      </c>
    </row>
    <row r="2379" spans="1:9" x14ac:dyDescent="0.2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 s="1">
        <f t="shared" si="74"/>
        <v>693.91</v>
      </c>
      <c r="H2379" s="1" t="str">
        <f>_xlfn.XLOOKUP(C2379,Product!A:A,Product!B:B,"not found",0)</f>
        <v>Sun Bicycles Lil Bolt Type-R - 2017</v>
      </c>
      <c r="I2379" s="1">
        <f t="shared" si="75"/>
        <v>693.91</v>
      </c>
    </row>
    <row r="2380" spans="1:9" x14ac:dyDescent="0.2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 s="1">
        <f t="shared" si="74"/>
        <v>659.79</v>
      </c>
      <c r="H2380" s="1" t="str">
        <f>_xlfn.XLOOKUP(C2380,Product!A:A,Product!B:B,"not found",0)</f>
        <v>Electra Amsterdam Original 3i Ladies' - 2017</v>
      </c>
      <c r="I2380" s="1">
        <f t="shared" si="75"/>
        <v>659.79</v>
      </c>
    </row>
    <row r="2381" spans="1:9" x14ac:dyDescent="0.2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 s="1">
        <f t="shared" si="74"/>
        <v>749.94</v>
      </c>
      <c r="H2381" s="1" t="str">
        <f>_xlfn.XLOOKUP(C2381,Product!A:A,Product!B:B,"not found",0)</f>
        <v>Ritchey Timberwolf Frameset - 2016</v>
      </c>
      <c r="I2381" s="1">
        <f t="shared" si="75"/>
        <v>749.94</v>
      </c>
    </row>
    <row r="2382" spans="1:9" x14ac:dyDescent="0.2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 s="1">
        <f t="shared" si="74"/>
        <v>899.78</v>
      </c>
      <c r="H2382" s="1" t="str">
        <f>_xlfn.XLOOKUP(C2382,Product!A:A,Product!B:B,"not found",0)</f>
        <v>Sun Bicycles Cruz 3 - Women's - 2017</v>
      </c>
      <c r="I2382" s="1">
        <f t="shared" si="75"/>
        <v>899.78</v>
      </c>
    </row>
    <row r="2383" spans="1:9" x14ac:dyDescent="0.2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 s="1">
        <f t="shared" si="74"/>
        <v>6499.94</v>
      </c>
      <c r="H2383" s="1" t="str">
        <f>_xlfn.XLOOKUP(C2383,Product!A:A,Product!B:B,"not found",0)</f>
        <v>Trek Silque SLR 8 Women's - 2017</v>
      </c>
      <c r="I2383" s="1">
        <f t="shared" si="75"/>
        <v>6499.94</v>
      </c>
    </row>
    <row r="2384" spans="1:9" x14ac:dyDescent="0.2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 s="1">
        <f t="shared" si="74"/>
        <v>349.89</v>
      </c>
      <c r="H2384" s="1" t="str">
        <f>_xlfn.XLOOKUP(C2384,Product!A:A,Product!B:B,"not found",0)</f>
        <v>Electra Savannah 3i (20-inch) - Girl's - 2017</v>
      </c>
      <c r="I2384" s="1">
        <f t="shared" si="75"/>
        <v>349.89</v>
      </c>
    </row>
    <row r="2385" spans="1:9" x14ac:dyDescent="0.2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 s="1">
        <f t="shared" si="74"/>
        <v>379.78000000000003</v>
      </c>
      <c r="H2385" s="1" t="str">
        <f>_xlfn.XLOOKUP(C2385,Product!A:A,Product!B:B,"not found",0)</f>
        <v>Trek Precaliber 12 Boys - 2017</v>
      </c>
      <c r="I2385" s="1">
        <f t="shared" si="75"/>
        <v>379.78000000000003</v>
      </c>
    </row>
    <row r="2386" spans="1:9" x14ac:dyDescent="0.2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 s="1">
        <f t="shared" si="74"/>
        <v>2499.89</v>
      </c>
      <c r="H2386" s="1" t="str">
        <f>_xlfn.XLOOKUP(C2386,Product!A:A,Product!B:B,"not found",0)</f>
        <v>Surly Karate Monkey 27.5+ Frameset - 2017</v>
      </c>
      <c r="I2386" s="1">
        <f t="shared" si="75"/>
        <v>2499.89</v>
      </c>
    </row>
    <row r="2387" spans="1:9" x14ac:dyDescent="0.2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 s="1">
        <f t="shared" si="74"/>
        <v>1548.9</v>
      </c>
      <c r="H2387" s="1" t="str">
        <f>_xlfn.XLOOKUP(C2387,Product!A:A,Product!B:B,"not found",0)</f>
        <v>Surly Straggler - 2016</v>
      </c>
      <c r="I2387" s="1">
        <f t="shared" si="75"/>
        <v>1548.9</v>
      </c>
    </row>
    <row r="2388" spans="1:9" x14ac:dyDescent="0.2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 s="1">
        <f t="shared" si="74"/>
        <v>979.93000000000006</v>
      </c>
      <c r="H2388" s="1" t="str">
        <f>_xlfn.XLOOKUP(C2388,Product!A:A,Product!B:B,"not found",0)</f>
        <v>Electra Townie 3i EQ (20-inch) - Boys' - 2017</v>
      </c>
      <c r="I2388" s="1">
        <f t="shared" si="75"/>
        <v>979.93000000000006</v>
      </c>
    </row>
    <row r="2389" spans="1:9" x14ac:dyDescent="0.2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 s="1">
        <f t="shared" si="74"/>
        <v>693.91</v>
      </c>
      <c r="H2389" s="1" t="str">
        <f>_xlfn.XLOOKUP(C2389,Product!A:A,Product!B:B,"not found",0)</f>
        <v>Sun Bicycles Lil Bolt Type-R - 2017</v>
      </c>
      <c r="I2389" s="1">
        <f t="shared" si="75"/>
        <v>693.91</v>
      </c>
    </row>
    <row r="2390" spans="1:9" x14ac:dyDescent="0.2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 s="1">
        <f t="shared" si="74"/>
        <v>2699.9199999999996</v>
      </c>
      <c r="H2390" s="1" t="str">
        <f>_xlfn.XLOOKUP(C2390,Product!A:A,Product!B:B,"not found",0)</f>
        <v>Trek Domane S 6 - 2017</v>
      </c>
      <c r="I2390" s="1">
        <f t="shared" si="75"/>
        <v>2699.9199999999996</v>
      </c>
    </row>
    <row r="2391" spans="1:9" x14ac:dyDescent="0.2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 s="1">
        <f t="shared" si="74"/>
        <v>329.89</v>
      </c>
      <c r="H2391" s="1" t="str">
        <f>_xlfn.XLOOKUP(C2391,Product!A:A,Product!B:B,"not found",0)</f>
        <v>Haro Downtown 16 - 2017</v>
      </c>
      <c r="I2391" s="1">
        <f t="shared" si="75"/>
        <v>329.89</v>
      </c>
    </row>
    <row r="2392" spans="1:9" x14ac:dyDescent="0.2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 s="1">
        <f t="shared" si="74"/>
        <v>9999.93</v>
      </c>
      <c r="H2392" s="1" t="str">
        <f>_xlfn.XLOOKUP(C2392,Product!A:A,Product!B:B,"not found",0)</f>
        <v>Trek Madone 9.2 - 2017</v>
      </c>
      <c r="I2392" s="1">
        <f t="shared" si="75"/>
        <v>9999.93</v>
      </c>
    </row>
    <row r="2393" spans="1:9" x14ac:dyDescent="0.2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 s="1">
        <f t="shared" si="74"/>
        <v>999.92</v>
      </c>
      <c r="H2393" s="1" t="str">
        <f>_xlfn.XLOOKUP(C2393,Product!A:A,Product!B:B,"not found",0)</f>
        <v>Surly Big Dummy Frameset - 2017</v>
      </c>
      <c r="I2393" s="1">
        <f t="shared" si="75"/>
        <v>999.92</v>
      </c>
    </row>
    <row r="2394" spans="1:9" x14ac:dyDescent="0.2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 s="1">
        <f t="shared" si="74"/>
        <v>5299.92</v>
      </c>
      <c r="H2394" s="1" t="str">
        <f>_xlfn.XLOOKUP(C2394,Product!A:A,Product!B:B,"not found",0)</f>
        <v>Trek Fuel EX 9.8 27.5 Plus - 2017</v>
      </c>
      <c r="I2394" s="1">
        <f t="shared" si="75"/>
        <v>5299.92</v>
      </c>
    </row>
    <row r="2395" spans="1:9" x14ac:dyDescent="0.2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 s="1">
        <f t="shared" si="74"/>
        <v>899.78</v>
      </c>
      <c r="H2395" s="1" t="str">
        <f>_xlfn.XLOOKUP(C2395,Product!A:A,Product!B:B,"not found",0)</f>
        <v>Sun Bicycles Cruz 3 - 2017</v>
      </c>
      <c r="I2395" s="1">
        <f t="shared" si="75"/>
        <v>899.78</v>
      </c>
    </row>
    <row r="2396" spans="1:9" x14ac:dyDescent="0.2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 s="1">
        <f t="shared" si="74"/>
        <v>539.88</v>
      </c>
      <c r="H2396" s="1" t="str">
        <f>_xlfn.XLOOKUP(C2396,Product!A:A,Product!B:B,"not found",0)</f>
        <v>Electra Girl's Hawaii 1 (16-inch) - 2015/2016</v>
      </c>
      <c r="I2396" s="1">
        <f t="shared" si="75"/>
        <v>539.88</v>
      </c>
    </row>
    <row r="2397" spans="1:9" x14ac:dyDescent="0.2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 s="1">
        <f t="shared" si="74"/>
        <v>2999.79</v>
      </c>
      <c r="H2397" s="1" t="str">
        <f>_xlfn.XLOOKUP(C2397,Product!A:A,Product!B:B,"not found",0)</f>
        <v>Trek Conduit+ - 2016</v>
      </c>
      <c r="I2397" s="1">
        <f t="shared" si="75"/>
        <v>2999.79</v>
      </c>
    </row>
    <row r="2398" spans="1:9" x14ac:dyDescent="0.2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 s="1">
        <f t="shared" si="74"/>
        <v>1680.79</v>
      </c>
      <c r="H2398" s="1" t="str">
        <f>_xlfn.XLOOKUP(C2398,Product!A:A,Product!B:B,"not found",0)</f>
        <v>Surly Straggler 650b - 2016</v>
      </c>
      <c r="I2398" s="1">
        <f t="shared" si="75"/>
        <v>1680.79</v>
      </c>
    </row>
    <row r="2399" spans="1:9" x14ac:dyDescent="0.2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 s="1">
        <f t="shared" si="74"/>
        <v>419.91</v>
      </c>
      <c r="H2399" s="1" t="str">
        <f>_xlfn.XLOOKUP(C2399,Product!A:A,Product!B:B,"not found",0)</f>
        <v>Trek Precaliber 16 Girls - 2017</v>
      </c>
      <c r="I2399" s="1">
        <f t="shared" si="75"/>
        <v>419.91</v>
      </c>
    </row>
    <row r="2400" spans="1:9" x14ac:dyDescent="0.2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 s="1">
        <f t="shared" si="74"/>
        <v>489.89</v>
      </c>
      <c r="H2400" s="1" t="str">
        <f>_xlfn.XLOOKUP(C2400,Product!A:A,Product!B:B,"not found",0)</f>
        <v>Electra Townie 3i EQ (20-inch) - Boys' - 2017</v>
      </c>
      <c r="I2400" s="1">
        <f t="shared" si="75"/>
        <v>489.89</v>
      </c>
    </row>
    <row r="2401" spans="1:9" x14ac:dyDescent="0.2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 s="1">
        <f t="shared" si="74"/>
        <v>2199.91</v>
      </c>
      <c r="H2401" s="1" t="str">
        <f>_xlfn.XLOOKUP(C2401,Product!A:A,Product!B:B,"not found",0)</f>
        <v>Electra Amsterdam Fashion 7i Ladies' - 2017</v>
      </c>
      <c r="I2401" s="1">
        <f t="shared" si="75"/>
        <v>2199.91</v>
      </c>
    </row>
    <row r="2402" spans="1:9" x14ac:dyDescent="0.2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 s="1">
        <f t="shared" si="74"/>
        <v>2299.89</v>
      </c>
      <c r="H2402" s="1" t="str">
        <f>_xlfn.XLOOKUP(C2402,Product!A:A,Product!B:B,"not found",0)</f>
        <v>Trek Fuel EX 5 27.5 Plus - 2017</v>
      </c>
      <c r="I2402" s="1">
        <f t="shared" si="75"/>
        <v>2299.89</v>
      </c>
    </row>
    <row r="2403" spans="1:9" x14ac:dyDescent="0.2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 s="1">
        <f t="shared" si="74"/>
        <v>619.89</v>
      </c>
      <c r="H2403" s="1" t="str">
        <f>_xlfn.XLOOKUP(C2403,Product!A:A,Product!B:B,"not found",0)</f>
        <v>Sun Bicycles Biscayne Tandem 7 - 2017</v>
      </c>
      <c r="I2403" s="1">
        <f t="shared" si="75"/>
        <v>619.89</v>
      </c>
    </row>
    <row r="2404" spans="1:9" x14ac:dyDescent="0.2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 s="1">
        <f t="shared" si="74"/>
        <v>1199.8800000000001</v>
      </c>
      <c r="H2404" s="1" t="str">
        <f>_xlfn.XLOOKUP(C2404,Product!A:A,Product!B:B,"not found",0)</f>
        <v>Electra Cruiser Lux Fat Tire 1 Ladies - 2017</v>
      </c>
      <c r="I2404" s="1">
        <f t="shared" si="75"/>
        <v>1199.8800000000001</v>
      </c>
    </row>
    <row r="2405" spans="1:9" x14ac:dyDescent="0.2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 s="1">
        <f t="shared" si="74"/>
        <v>1099.8900000000001</v>
      </c>
      <c r="H2405" s="1" t="str">
        <f>_xlfn.XLOOKUP(C2405,Product!A:A,Product!B:B,"not found",0)</f>
        <v>Electra Amsterdam Fashion 7i Ladies' - 2017</v>
      </c>
      <c r="I2405" s="1">
        <f t="shared" si="75"/>
        <v>1099.8900000000001</v>
      </c>
    </row>
    <row r="2406" spans="1:9" x14ac:dyDescent="0.2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 s="1">
        <f t="shared" si="74"/>
        <v>599.91</v>
      </c>
      <c r="H2406" s="1" t="str">
        <f>_xlfn.XLOOKUP(C2406,Product!A:A,Product!B:B,"not found",0)</f>
        <v>Electra Girl's Hawaii 1 (20-inch) - 2015/2016</v>
      </c>
      <c r="I2406" s="1">
        <f t="shared" si="75"/>
        <v>599.91</v>
      </c>
    </row>
    <row r="2407" spans="1:9" x14ac:dyDescent="0.2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 s="1">
        <f t="shared" si="74"/>
        <v>805.91</v>
      </c>
      <c r="H2407" s="1" t="str">
        <f>_xlfn.XLOOKUP(C2407,Product!A:A,Product!B:B,"not found",0)</f>
        <v>Sun Bicycles Boardwalk (24-inch Wheels) - 2017</v>
      </c>
      <c r="I2407" s="1">
        <f t="shared" si="75"/>
        <v>805.91</v>
      </c>
    </row>
    <row r="2408" spans="1:9" x14ac:dyDescent="0.2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 s="1">
        <f t="shared" si="74"/>
        <v>549.89</v>
      </c>
      <c r="H2408" s="1" t="str">
        <f>_xlfn.XLOOKUP(C2408,Product!A:A,Product!B:B,"not found",0)</f>
        <v>Electra Townie Original 21D - 2016</v>
      </c>
      <c r="I2408" s="1">
        <f t="shared" si="75"/>
        <v>549.89</v>
      </c>
    </row>
    <row r="2409" spans="1:9" x14ac:dyDescent="0.2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 s="1">
        <f t="shared" si="74"/>
        <v>299.78000000000003</v>
      </c>
      <c r="H2409" s="1" t="str">
        <f>_xlfn.XLOOKUP(C2409,Product!A:A,Product!B:B,"not found",0)</f>
        <v>Trek Boy's Kickster - 2015/2017</v>
      </c>
      <c r="I2409" s="1">
        <f t="shared" si="75"/>
        <v>299.78000000000003</v>
      </c>
    </row>
    <row r="2410" spans="1:9" x14ac:dyDescent="0.2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 s="1">
        <f t="shared" si="74"/>
        <v>1499.79</v>
      </c>
      <c r="H2410" s="1" t="str">
        <f>_xlfn.XLOOKUP(C2410,Product!A:A,Product!B:B,"not found",0)</f>
        <v>Trek Emonda S 4 - 2017</v>
      </c>
      <c r="I2410" s="1">
        <f t="shared" si="75"/>
        <v>1499.79</v>
      </c>
    </row>
    <row r="2411" spans="1:9" x14ac:dyDescent="0.2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 s="1">
        <f t="shared" si="74"/>
        <v>6999.9299999999994</v>
      </c>
      <c r="H2411" s="1" t="str">
        <f>_xlfn.XLOOKUP(C2411,Product!A:A,Product!B:B,"not found",0)</f>
        <v>Trek Boone Race Shop Limited - 2017</v>
      </c>
      <c r="I2411" s="1">
        <f t="shared" si="75"/>
        <v>6999.9299999999994</v>
      </c>
    </row>
    <row r="2412" spans="1:9" x14ac:dyDescent="0.2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 s="1">
        <f t="shared" si="74"/>
        <v>1199.78</v>
      </c>
      <c r="H2412" s="1" t="str">
        <f>_xlfn.XLOOKUP(C2412,Product!A:A,Product!B:B,"not found",0)</f>
        <v>Electra Townie Original 7D EQ - 2016</v>
      </c>
      <c r="I2412" s="1">
        <f t="shared" si="75"/>
        <v>1199.78</v>
      </c>
    </row>
    <row r="2413" spans="1:9" x14ac:dyDescent="0.2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 s="1">
        <f t="shared" si="74"/>
        <v>599.79</v>
      </c>
      <c r="H2413" s="1" t="str">
        <f>_xlfn.XLOOKUP(C2413,Product!A:A,Product!B:B,"not found",0)</f>
        <v>Electra Cruiser Lux Fat Tire 1 Ladies - 2017</v>
      </c>
      <c r="I2413" s="1">
        <f t="shared" si="75"/>
        <v>599.79</v>
      </c>
    </row>
    <row r="2414" spans="1:9" x14ac:dyDescent="0.2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 s="1">
        <f t="shared" si="74"/>
        <v>1199.93</v>
      </c>
      <c r="H2414" s="1" t="str">
        <f>_xlfn.XLOOKUP(C2414,Product!A:A,Product!B:B,"not found",0)</f>
        <v>Electra Townie Original 7D EQ - 2016</v>
      </c>
      <c r="I2414" s="1">
        <f t="shared" si="75"/>
        <v>1199.93</v>
      </c>
    </row>
    <row r="2415" spans="1:9" x14ac:dyDescent="0.2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 s="1">
        <f t="shared" si="74"/>
        <v>1499.78</v>
      </c>
      <c r="H2415" s="1" t="str">
        <f>_xlfn.XLOOKUP(C2415,Product!A:A,Product!B:B,"not found",0)</f>
        <v>Sun Bicycles Brickell Tandem 7 - 2017</v>
      </c>
      <c r="I2415" s="1">
        <f t="shared" si="75"/>
        <v>1499.78</v>
      </c>
    </row>
    <row r="2416" spans="1:9" x14ac:dyDescent="0.2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 s="1">
        <f t="shared" si="74"/>
        <v>189.94</v>
      </c>
      <c r="H2416" s="1" t="str">
        <f>_xlfn.XLOOKUP(C2416,Product!A:A,Product!B:B,"not found",0)</f>
        <v>Trek Precaliber 12 Girls - 2017</v>
      </c>
      <c r="I2416" s="1">
        <f t="shared" si="75"/>
        <v>189.94</v>
      </c>
    </row>
    <row r="2417" spans="1:9" x14ac:dyDescent="0.2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 s="1">
        <f t="shared" si="74"/>
        <v>2819.93</v>
      </c>
      <c r="H2417" s="1" t="str">
        <f>_xlfn.XLOOKUP(C2417,Product!A:A,Product!B:B,"not found",0)</f>
        <v>Haro SR 1.3 - 2017</v>
      </c>
      <c r="I2417" s="1">
        <f t="shared" si="75"/>
        <v>2819.93</v>
      </c>
    </row>
    <row r="2418" spans="1:9" x14ac:dyDescent="0.2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 s="1">
        <f t="shared" si="74"/>
        <v>5299.92</v>
      </c>
      <c r="H2418" s="1" t="str">
        <f>_xlfn.XLOOKUP(C2418,Product!A:A,Product!B:B,"not found",0)</f>
        <v>Trek Remedy 9.8 - 2017</v>
      </c>
      <c r="I2418" s="1">
        <f t="shared" si="75"/>
        <v>5299.92</v>
      </c>
    </row>
    <row r="2419" spans="1:9" x14ac:dyDescent="0.2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 s="1">
        <f t="shared" si="74"/>
        <v>416.89</v>
      </c>
      <c r="H2419" s="1" t="str">
        <f>_xlfn.XLOOKUP(C2419,Product!A:A,Product!B:B,"not found",0)</f>
        <v>Sun Bicycles Atlas X-Type - 2017</v>
      </c>
      <c r="I2419" s="1">
        <f t="shared" si="75"/>
        <v>416.89</v>
      </c>
    </row>
    <row r="2420" spans="1:9" x14ac:dyDescent="0.2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 s="1">
        <f t="shared" si="74"/>
        <v>1239.93</v>
      </c>
      <c r="H2420" s="1" t="str">
        <f>_xlfn.XLOOKUP(C2420,Product!A:A,Product!B:B,"not found",0)</f>
        <v>Sun Bicycles Biscayne Tandem 7 - 2017</v>
      </c>
      <c r="I2420" s="1">
        <f t="shared" si="75"/>
        <v>1239.93</v>
      </c>
    </row>
    <row r="2421" spans="1:9" x14ac:dyDescent="0.2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 s="1">
        <f t="shared" si="74"/>
        <v>1103.9100000000001</v>
      </c>
      <c r="H2421" s="1" t="str">
        <f>_xlfn.XLOOKUP(C2421,Product!A:A,Product!B:B,"not found",0)</f>
        <v>Sun Bicycles Streamway 3 - 2017</v>
      </c>
      <c r="I2421" s="1">
        <f t="shared" si="75"/>
        <v>1103.9100000000001</v>
      </c>
    </row>
    <row r="2422" spans="1:9" x14ac:dyDescent="0.2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 s="1">
        <f t="shared" si="74"/>
        <v>9999.93</v>
      </c>
      <c r="H2422" s="1" t="str">
        <f>_xlfn.XLOOKUP(C2422,Product!A:A,Product!B:B,"not found",0)</f>
        <v>Trek Powerfly 8 FS Plus - 2017</v>
      </c>
      <c r="I2422" s="1">
        <f t="shared" si="75"/>
        <v>9999.93</v>
      </c>
    </row>
    <row r="2423" spans="1:9" x14ac:dyDescent="0.2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 s="1">
        <f t="shared" si="74"/>
        <v>209.92000000000002</v>
      </c>
      <c r="H2423" s="1" t="str">
        <f>_xlfn.XLOOKUP(C2423,Product!A:A,Product!B:B,"not found",0)</f>
        <v>Haro Shredder 20 Girls - 2017</v>
      </c>
      <c r="I2423" s="1">
        <f t="shared" si="75"/>
        <v>209.92000000000002</v>
      </c>
    </row>
    <row r="2424" spans="1:9" x14ac:dyDescent="0.2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 s="1">
        <f t="shared" si="74"/>
        <v>979.78</v>
      </c>
      <c r="H2424" s="1" t="str">
        <f>_xlfn.XLOOKUP(C2424,Product!A:A,Product!B:B,"not found",0)</f>
        <v>Electra Townie 3i EQ (20-inch) - Boys' - 2017</v>
      </c>
      <c r="I2424" s="1">
        <f t="shared" si="75"/>
        <v>979.78</v>
      </c>
    </row>
    <row r="2425" spans="1:9" x14ac:dyDescent="0.2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 s="1">
        <f t="shared" si="74"/>
        <v>379.78000000000003</v>
      </c>
      <c r="H2425" s="1" t="str">
        <f>_xlfn.XLOOKUP(C2425,Product!A:A,Product!B:B,"not found",0)</f>
        <v>Trek Precaliber 12 Girls - 2017</v>
      </c>
      <c r="I2425" s="1">
        <f t="shared" si="75"/>
        <v>379.78000000000003</v>
      </c>
    </row>
    <row r="2426" spans="1:9" x14ac:dyDescent="0.2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 s="1">
        <f t="shared" si="74"/>
        <v>2939.91</v>
      </c>
      <c r="H2426" s="1" t="str">
        <f>_xlfn.XLOOKUP(C2426,Product!A:A,Product!B:B,"not found",0)</f>
        <v>Haro Shift R3 - 2017</v>
      </c>
      <c r="I2426" s="1">
        <f t="shared" si="75"/>
        <v>2939.91</v>
      </c>
    </row>
    <row r="2427" spans="1:9" x14ac:dyDescent="0.2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 s="1">
        <f t="shared" si="74"/>
        <v>416.79</v>
      </c>
      <c r="H2427" s="1" t="str">
        <f>_xlfn.XLOOKUP(C2427,Product!A:A,Product!B:B,"not found",0)</f>
        <v>Sun Bicycles Cruz 7 - Women's - 2017</v>
      </c>
      <c r="I2427" s="1">
        <f t="shared" si="75"/>
        <v>416.79</v>
      </c>
    </row>
    <row r="2428" spans="1:9" x14ac:dyDescent="0.2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 s="1">
        <f t="shared" si="74"/>
        <v>679.91</v>
      </c>
      <c r="H2428" s="1" t="str">
        <f>_xlfn.XLOOKUP(C2428,Product!A:A,Product!B:B,"not found",0)</f>
        <v>Electra Townie 7D (20-inch) - Boys' - 2017</v>
      </c>
      <c r="I2428" s="1">
        <f t="shared" si="75"/>
        <v>679.91</v>
      </c>
    </row>
    <row r="2429" spans="1:9" x14ac:dyDescent="0.2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 s="1">
        <f t="shared" si="74"/>
        <v>2641.91</v>
      </c>
      <c r="H2429" s="1" t="str">
        <f>_xlfn.XLOOKUP(C2429,Product!A:A,Product!B:B,"not found",0)</f>
        <v>Heller Shagamaw Frame - 2016</v>
      </c>
      <c r="I2429" s="1">
        <f t="shared" si="75"/>
        <v>2641.91</v>
      </c>
    </row>
    <row r="2430" spans="1:9" x14ac:dyDescent="0.2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 s="1">
        <f t="shared" si="74"/>
        <v>379.92</v>
      </c>
      <c r="H2430" s="1" t="str">
        <f>_xlfn.XLOOKUP(C2430,Product!A:A,Product!B:B,"not found",0)</f>
        <v>Haro Flightline One ST - 2017</v>
      </c>
      <c r="I2430" s="1">
        <f t="shared" si="75"/>
        <v>379.92</v>
      </c>
    </row>
    <row r="2431" spans="1:9" x14ac:dyDescent="0.2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 s="1">
        <f t="shared" si="74"/>
        <v>999.79</v>
      </c>
      <c r="H2431" s="1" t="str">
        <f>_xlfn.XLOOKUP(C2431,Product!A:A,Product!B:B,"not found",0)</f>
        <v>Surly Ice Cream Truck Frameset - 2017</v>
      </c>
      <c r="I2431" s="1">
        <f t="shared" si="75"/>
        <v>999.79</v>
      </c>
    </row>
    <row r="2432" spans="1:9" x14ac:dyDescent="0.2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 s="1">
        <f t="shared" si="74"/>
        <v>209.94</v>
      </c>
      <c r="H2432" s="1" t="str">
        <f>_xlfn.XLOOKUP(C2432,Product!A:A,Product!B:B,"not found",0)</f>
        <v>Haro Shredder 20 Girls - 2017</v>
      </c>
      <c r="I2432" s="1">
        <f t="shared" si="75"/>
        <v>209.94</v>
      </c>
    </row>
    <row r="2433" spans="1:9" x14ac:dyDescent="0.2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 s="1">
        <f t="shared" si="74"/>
        <v>2819.91</v>
      </c>
      <c r="H2433" s="1" t="str">
        <f>_xlfn.XLOOKUP(C2433,Product!A:A,Product!B:B,"not found",0)</f>
        <v>Haro SR 1.3 - 2017</v>
      </c>
      <c r="I2433" s="1">
        <f t="shared" si="75"/>
        <v>2819.91</v>
      </c>
    </row>
    <row r="2434" spans="1:9" x14ac:dyDescent="0.2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 s="1">
        <f t="shared" si="74"/>
        <v>299.94</v>
      </c>
      <c r="H2434" s="1" t="str">
        <f>_xlfn.XLOOKUP(C2434,Product!A:A,Product!B:B,"not found",0)</f>
        <v>Electra Sugar Skulls 1 (20-inch) - Girl's - 2017</v>
      </c>
      <c r="I2434" s="1">
        <f t="shared" si="75"/>
        <v>299.94</v>
      </c>
    </row>
    <row r="2435" spans="1:9" x14ac:dyDescent="0.2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 s="1">
        <f t="shared" ref="G2435:G2498" si="76">(E2435*D2435)-F2435</f>
        <v>9999.7799999999988</v>
      </c>
      <c r="H2435" s="1" t="str">
        <f>_xlfn.XLOOKUP(C2435,Product!A:A,Product!B:B,"not found",0)</f>
        <v>Trek Madone 9.2 - 2017</v>
      </c>
      <c r="I2435" s="1">
        <f t="shared" ref="I2435:I2498" si="77">(D2435*E2435)-F2435</f>
        <v>9999.7799999999988</v>
      </c>
    </row>
    <row r="2436" spans="1:9" x14ac:dyDescent="0.2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 s="1">
        <f t="shared" si="76"/>
        <v>4599.78</v>
      </c>
      <c r="H2436" s="1" t="str">
        <f>_xlfn.XLOOKUP(C2436,Product!A:A,Product!B:B,"not found",0)</f>
        <v>Trek Fuel EX 5 27.5 Plus - 2017</v>
      </c>
      <c r="I2436" s="1">
        <f t="shared" si="77"/>
        <v>4599.78</v>
      </c>
    </row>
    <row r="2437" spans="1:9" x14ac:dyDescent="0.2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 s="1">
        <f t="shared" si="76"/>
        <v>869.79</v>
      </c>
      <c r="H2437" s="1" t="str">
        <f>_xlfn.XLOOKUP(C2437,Product!A:A,Product!B:B,"not found",0)</f>
        <v>Haro SR 1.2 - 2017</v>
      </c>
      <c r="I2437" s="1">
        <f t="shared" si="77"/>
        <v>869.79</v>
      </c>
    </row>
    <row r="2438" spans="1:9" x14ac:dyDescent="0.2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 s="1">
        <f t="shared" si="76"/>
        <v>469.94</v>
      </c>
      <c r="H2438" s="1" t="str">
        <f>_xlfn.XLOOKUP(C2438,Product!A:A,Product!B:B,"not found",0)</f>
        <v>Surly Ice Cream Truck Frameset - 2016</v>
      </c>
      <c r="I2438" s="1">
        <f t="shared" si="77"/>
        <v>469.94</v>
      </c>
    </row>
    <row r="2439" spans="1:9" x14ac:dyDescent="0.2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 s="1">
        <f t="shared" si="76"/>
        <v>189.89000000000001</v>
      </c>
      <c r="H2439" s="1" t="str">
        <f>_xlfn.XLOOKUP(C2439,Product!A:A,Product!B:B,"not found",0)</f>
        <v>Trek Precaliber 12 Boys - 2017</v>
      </c>
      <c r="I2439" s="1">
        <f t="shared" si="77"/>
        <v>189.89000000000001</v>
      </c>
    </row>
    <row r="2440" spans="1:9" x14ac:dyDescent="0.2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 s="1">
        <f t="shared" si="76"/>
        <v>448.9</v>
      </c>
      <c r="H2440" s="1" t="str">
        <f>_xlfn.XLOOKUP(C2440,Product!A:A,Product!B:B,"not found",0)</f>
        <v>Pure Cycles Western 3-Speed - Women's - 2015/2016</v>
      </c>
      <c r="I2440" s="1">
        <f t="shared" si="77"/>
        <v>448.9</v>
      </c>
    </row>
    <row r="2441" spans="1:9" x14ac:dyDescent="0.2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 s="1">
        <f t="shared" si="76"/>
        <v>419.78000000000003</v>
      </c>
      <c r="H2441" s="1" t="str">
        <f>_xlfn.XLOOKUP(C2441,Product!A:A,Product!B:B,"not found",0)</f>
        <v>Haro Shredder 20 Girls - 2017</v>
      </c>
      <c r="I2441" s="1">
        <f t="shared" si="77"/>
        <v>419.78000000000003</v>
      </c>
    </row>
    <row r="2442" spans="1:9" x14ac:dyDescent="0.2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 s="1">
        <f t="shared" si="76"/>
        <v>209.79000000000002</v>
      </c>
      <c r="H2442" s="1" t="str">
        <f>_xlfn.XLOOKUP(C2442,Product!A:A,Product!B:B,"not found",0)</f>
        <v>Trek Precaliber 16 Boys - 2017</v>
      </c>
      <c r="I2442" s="1">
        <f t="shared" si="77"/>
        <v>209.79000000000002</v>
      </c>
    </row>
    <row r="2443" spans="1:9" x14ac:dyDescent="0.2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 s="1">
        <f t="shared" si="76"/>
        <v>1099.93</v>
      </c>
      <c r="H2443" s="1" t="str">
        <f>_xlfn.XLOOKUP(C2443,Product!A:A,Product!B:B,"not found",0)</f>
        <v>Haro Flightline Two 26 Plus - 2017</v>
      </c>
      <c r="I2443" s="1">
        <f t="shared" si="77"/>
        <v>1099.93</v>
      </c>
    </row>
    <row r="2444" spans="1:9" x14ac:dyDescent="0.2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 s="1">
        <f t="shared" si="76"/>
        <v>999.79</v>
      </c>
      <c r="H2444" s="1" t="str">
        <f>_xlfn.XLOOKUP(C2444,Product!A:A,Product!B:B,"not found",0)</f>
        <v>Trek X-Caliber 8 - 2017</v>
      </c>
      <c r="I2444" s="1">
        <f t="shared" si="77"/>
        <v>999.79</v>
      </c>
    </row>
    <row r="2445" spans="1:9" x14ac:dyDescent="0.2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 s="1">
        <f t="shared" si="76"/>
        <v>1739.78</v>
      </c>
      <c r="H2445" s="1" t="str">
        <f>_xlfn.XLOOKUP(C2445,Product!A:A,Product!B:B,"not found",0)</f>
        <v>Haro SR 1.2 - 2017</v>
      </c>
      <c r="I2445" s="1">
        <f t="shared" si="77"/>
        <v>1739.78</v>
      </c>
    </row>
    <row r="2446" spans="1:9" x14ac:dyDescent="0.2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 s="1">
        <f t="shared" si="76"/>
        <v>1320.79</v>
      </c>
      <c r="H2446" s="1" t="str">
        <f>_xlfn.XLOOKUP(C2446,Product!A:A,Product!B:B,"not found",0)</f>
        <v>Heller Shagamaw Frame - 2016</v>
      </c>
      <c r="I2446" s="1">
        <f t="shared" si="77"/>
        <v>1320.79</v>
      </c>
    </row>
    <row r="2447" spans="1:9" x14ac:dyDescent="0.2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 s="1">
        <f t="shared" si="76"/>
        <v>269.92</v>
      </c>
      <c r="H2447" s="1" t="str">
        <f>_xlfn.XLOOKUP(C2447,Product!A:A,Product!B:B,"not found",0)</f>
        <v>Electra Girl's Hawaii 1 (16-inch) - 2015/2016</v>
      </c>
      <c r="I2447" s="1">
        <f t="shared" si="77"/>
        <v>269.92</v>
      </c>
    </row>
    <row r="2448" spans="1:9" x14ac:dyDescent="0.2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 s="1">
        <f t="shared" si="76"/>
        <v>1499.91</v>
      </c>
      <c r="H2448" s="1" t="str">
        <f>_xlfn.XLOOKUP(C2448,Product!A:A,Product!B:B,"not found",0)</f>
        <v>Sun Bicycles Brickell Tandem 7 - 2017</v>
      </c>
      <c r="I2448" s="1">
        <f t="shared" si="77"/>
        <v>1499.91</v>
      </c>
    </row>
    <row r="2449" spans="1:9" x14ac:dyDescent="0.2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 s="1">
        <f t="shared" si="76"/>
        <v>1099.9100000000001</v>
      </c>
      <c r="H2449" s="1" t="str">
        <f>_xlfn.XLOOKUP(C2449,Product!A:A,Product!B:B,"not found",0)</f>
        <v>Haro Flightline Two 26 Plus - 2017</v>
      </c>
      <c r="I2449" s="1">
        <f t="shared" si="77"/>
        <v>1099.9100000000001</v>
      </c>
    </row>
    <row r="2450" spans="1:9" x14ac:dyDescent="0.2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 s="1">
        <f t="shared" si="76"/>
        <v>269.89</v>
      </c>
      <c r="H2450" s="1" t="str">
        <f>_xlfn.XLOOKUP(C2450,Product!A:A,Product!B:B,"not found",0)</f>
        <v>Electra Cruiser 1 (24-Inch) - 2016</v>
      </c>
      <c r="I2450" s="1">
        <f t="shared" si="77"/>
        <v>269.89</v>
      </c>
    </row>
    <row r="2451" spans="1:9" x14ac:dyDescent="0.2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 s="1">
        <f t="shared" si="76"/>
        <v>539.88</v>
      </c>
      <c r="H2451" s="1" t="str">
        <f>_xlfn.XLOOKUP(C2451,Product!A:A,Product!B:B,"not found",0)</f>
        <v>Electra Girl's Hawaii 1 (16-inch) - 2015/2016</v>
      </c>
      <c r="I2451" s="1">
        <f t="shared" si="77"/>
        <v>539.88</v>
      </c>
    </row>
    <row r="2452" spans="1:9" x14ac:dyDescent="0.2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 s="1">
        <f t="shared" si="76"/>
        <v>833.88</v>
      </c>
      <c r="H2452" s="1" t="str">
        <f>_xlfn.XLOOKUP(C2452,Product!A:A,Product!B:B,"not found",0)</f>
        <v>Sun Bicycles Atlas X-Type - 2017</v>
      </c>
      <c r="I2452" s="1">
        <f t="shared" si="77"/>
        <v>833.88</v>
      </c>
    </row>
    <row r="2453" spans="1:9" x14ac:dyDescent="0.2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 s="1">
        <f t="shared" si="76"/>
        <v>1665.88</v>
      </c>
      <c r="H2453" s="1" t="str">
        <f>_xlfn.XLOOKUP(C2453,Product!A:A,Product!B:B,"not found",0)</f>
        <v>Surly Troll Frameset - 2017</v>
      </c>
      <c r="I2453" s="1">
        <f t="shared" si="77"/>
        <v>1665.88</v>
      </c>
    </row>
    <row r="2454" spans="1:9" x14ac:dyDescent="0.2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 s="1">
        <f t="shared" si="76"/>
        <v>469.94</v>
      </c>
      <c r="H2454" s="1" t="str">
        <f>_xlfn.XLOOKUP(C2454,Product!A:A,Product!B:B,"not found",0)</f>
        <v>Surly Ice Cream Truck Frameset - 2016</v>
      </c>
      <c r="I2454" s="1">
        <f t="shared" si="77"/>
        <v>469.94</v>
      </c>
    </row>
    <row r="2455" spans="1:9" x14ac:dyDescent="0.2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 s="1">
        <f t="shared" si="76"/>
        <v>1099.78</v>
      </c>
      <c r="H2455" s="1" t="str">
        <f>_xlfn.XLOOKUP(C2455,Product!A:A,Product!B:B,"not found",0)</f>
        <v>Electra Townie Original 21D - 2016</v>
      </c>
      <c r="I2455" s="1">
        <f t="shared" si="77"/>
        <v>1099.78</v>
      </c>
    </row>
    <row r="2456" spans="1:9" x14ac:dyDescent="0.2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 s="1">
        <f t="shared" si="76"/>
        <v>499.79</v>
      </c>
      <c r="H2456" s="1" t="str">
        <f>_xlfn.XLOOKUP(C2456,Product!A:A,Product!B:B,"not found",0)</f>
        <v>Electra Townie Original 7D - 2015/2016</v>
      </c>
      <c r="I2456" s="1">
        <f t="shared" si="77"/>
        <v>499.79</v>
      </c>
    </row>
    <row r="2457" spans="1:9" x14ac:dyDescent="0.2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 s="1">
        <f t="shared" si="76"/>
        <v>9999.91</v>
      </c>
      <c r="H2457" s="1" t="str">
        <f>_xlfn.XLOOKUP(C2457,Product!A:A,Product!B:B,"not found",0)</f>
        <v>Trek Madone 9.2 - 2017</v>
      </c>
      <c r="I2457" s="1">
        <f t="shared" si="77"/>
        <v>9999.91</v>
      </c>
    </row>
    <row r="2458" spans="1:9" x14ac:dyDescent="0.2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 s="1">
        <f t="shared" si="76"/>
        <v>599.93000000000006</v>
      </c>
      <c r="H2458" s="1" t="str">
        <f>_xlfn.XLOOKUP(C2458,Product!A:A,Product!B:B,"not found",0)</f>
        <v>Electra Girl's Hawaii 1 16" - 2017</v>
      </c>
      <c r="I2458" s="1">
        <f t="shared" si="77"/>
        <v>599.93000000000006</v>
      </c>
    </row>
    <row r="2459" spans="1:9" x14ac:dyDescent="0.2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 s="1">
        <f t="shared" si="76"/>
        <v>539.91</v>
      </c>
      <c r="H2459" s="1" t="str">
        <f>_xlfn.XLOOKUP(C2459,Product!A:A,Product!B:B,"not found",0)</f>
        <v>Electra Girl's Hawaii 1 (16-inch) - 2015/2016</v>
      </c>
      <c r="I2459" s="1">
        <f t="shared" si="77"/>
        <v>539.91</v>
      </c>
    </row>
    <row r="2460" spans="1:9" x14ac:dyDescent="0.2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 s="1">
        <f t="shared" si="76"/>
        <v>3499.79</v>
      </c>
      <c r="H2460" s="1" t="str">
        <f>_xlfn.XLOOKUP(C2460,Product!A:A,Product!B:B,"not found",0)</f>
        <v>Trek Boone 7 - 2017</v>
      </c>
      <c r="I2460" s="1">
        <f t="shared" si="77"/>
        <v>3499.79</v>
      </c>
    </row>
    <row r="2461" spans="1:9" x14ac:dyDescent="0.2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 s="1">
        <f t="shared" si="76"/>
        <v>329.94</v>
      </c>
      <c r="H2461" s="1" t="str">
        <f>_xlfn.XLOOKUP(C2461,Product!A:A,Product!B:B,"not found",0)</f>
        <v>Haro Downtown 16 - 2017</v>
      </c>
      <c r="I2461" s="1">
        <f t="shared" si="77"/>
        <v>329.94</v>
      </c>
    </row>
    <row r="2462" spans="1:9" x14ac:dyDescent="0.2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 s="1">
        <f t="shared" si="76"/>
        <v>299.79000000000002</v>
      </c>
      <c r="H2462" s="1" t="str">
        <f>_xlfn.XLOOKUP(C2462,Product!A:A,Product!B:B,"not found",0)</f>
        <v>Electra Sugar Skulls 1 (20-inch) - Girl's - 2017</v>
      </c>
      <c r="I2462" s="1">
        <f t="shared" si="77"/>
        <v>299.79000000000002</v>
      </c>
    </row>
    <row r="2463" spans="1:9" x14ac:dyDescent="0.2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 s="1">
        <f t="shared" si="76"/>
        <v>6999.91</v>
      </c>
      <c r="H2463" s="1" t="str">
        <f>_xlfn.XLOOKUP(C2463,Product!A:A,Product!B:B,"not found",0)</f>
        <v>Trek Domane SL 6 - 2017</v>
      </c>
      <c r="I2463" s="1">
        <f t="shared" si="77"/>
        <v>6999.91</v>
      </c>
    </row>
    <row r="2464" spans="1:9" x14ac:dyDescent="0.2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 s="1">
        <f t="shared" si="76"/>
        <v>419.88</v>
      </c>
      <c r="H2464" s="1" t="str">
        <f>_xlfn.XLOOKUP(C2464,Product!A:A,Product!B:B,"not found",0)</f>
        <v>Haro Shredder 20 Girls - 2017</v>
      </c>
      <c r="I2464" s="1">
        <f t="shared" si="77"/>
        <v>419.88</v>
      </c>
    </row>
    <row r="2465" spans="1:9" x14ac:dyDescent="0.2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 s="1">
        <f t="shared" si="76"/>
        <v>379.89</v>
      </c>
      <c r="H2465" s="1" t="str">
        <f>_xlfn.XLOOKUP(C2465,Product!A:A,Product!B:B,"not found",0)</f>
        <v>Haro Flightline One ST - 2017</v>
      </c>
      <c r="I2465" s="1">
        <f t="shared" si="77"/>
        <v>379.89</v>
      </c>
    </row>
    <row r="2466" spans="1:9" x14ac:dyDescent="0.2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 s="1">
        <f t="shared" si="76"/>
        <v>693.93000000000006</v>
      </c>
      <c r="H2466" s="1" t="str">
        <f>_xlfn.XLOOKUP(C2466,Product!A:A,Product!B:B,"not found",0)</f>
        <v>Sun Bicycles Lil Bolt Type-R - 2017</v>
      </c>
      <c r="I2466" s="1">
        <f t="shared" si="77"/>
        <v>693.93000000000006</v>
      </c>
    </row>
    <row r="2467" spans="1:9" x14ac:dyDescent="0.2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 s="1">
        <f t="shared" si="76"/>
        <v>269.79000000000002</v>
      </c>
      <c r="H2467" s="1" t="str">
        <f>_xlfn.XLOOKUP(C2467,Product!A:A,Product!B:B,"not found",0)</f>
        <v>Electra Cruiser 1 (24-Inch) - 2016</v>
      </c>
      <c r="I2467" s="1">
        <f t="shared" si="77"/>
        <v>269.79000000000002</v>
      </c>
    </row>
    <row r="2468" spans="1:9" x14ac:dyDescent="0.2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 s="1">
        <f t="shared" si="76"/>
        <v>833.88</v>
      </c>
      <c r="H2468" s="1" t="str">
        <f>_xlfn.XLOOKUP(C2468,Product!A:A,Product!B:B,"not found",0)</f>
        <v>Sun Bicycles Cruz 7 - Women's - 2017</v>
      </c>
      <c r="I2468" s="1">
        <f t="shared" si="77"/>
        <v>833.88</v>
      </c>
    </row>
    <row r="2469" spans="1:9" x14ac:dyDescent="0.2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 s="1">
        <f t="shared" si="76"/>
        <v>469.94</v>
      </c>
      <c r="H2469" s="1" t="str">
        <f>_xlfn.XLOOKUP(C2469,Product!A:A,Product!B:B,"not found",0)</f>
        <v>Trek Session DH 27.5 Carbon Frameset - 2017</v>
      </c>
      <c r="I2469" s="1">
        <f t="shared" si="77"/>
        <v>469.94</v>
      </c>
    </row>
    <row r="2470" spans="1:9" x14ac:dyDescent="0.2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 s="1">
        <f t="shared" si="76"/>
        <v>189.79000000000002</v>
      </c>
      <c r="H2470" s="1" t="str">
        <f>_xlfn.XLOOKUP(C2470,Product!A:A,Product!B:B,"not found",0)</f>
        <v>Trek Precaliber 12 Girls - 2017</v>
      </c>
      <c r="I2470" s="1">
        <f t="shared" si="77"/>
        <v>189.79000000000002</v>
      </c>
    </row>
    <row r="2471" spans="1:9" x14ac:dyDescent="0.2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 s="1">
        <f t="shared" si="76"/>
        <v>501.91</v>
      </c>
      <c r="H2471" s="1" t="str">
        <f>_xlfn.XLOOKUP(C2471,Product!A:A,Product!B:B,"not found",0)</f>
        <v>Sun Bicycles Revolutions 24 - Girl's - 2017</v>
      </c>
      <c r="I2471" s="1">
        <f t="shared" si="77"/>
        <v>501.91</v>
      </c>
    </row>
    <row r="2472" spans="1:9" x14ac:dyDescent="0.2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 s="1">
        <f t="shared" si="76"/>
        <v>761.92</v>
      </c>
      <c r="H2472" s="1" t="str">
        <f>_xlfn.XLOOKUP(C2472,Product!A:A,Product!B:B,"not found",0)</f>
        <v>Sun Bicycles Brickell Tandem CB - 2017</v>
      </c>
      <c r="I2472" s="1">
        <f t="shared" si="77"/>
        <v>761.92</v>
      </c>
    </row>
    <row r="2473" spans="1:9" x14ac:dyDescent="0.2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 s="1">
        <f t="shared" si="76"/>
        <v>539.91</v>
      </c>
      <c r="H2473" s="1" t="str">
        <f>_xlfn.XLOOKUP(C2473,Product!A:A,Product!B:B,"not found",0)</f>
        <v>Electra Cruiser 1 (24-Inch) - 2016</v>
      </c>
      <c r="I2473" s="1">
        <f t="shared" si="77"/>
        <v>539.91</v>
      </c>
    </row>
    <row r="2474" spans="1:9" x14ac:dyDescent="0.2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 s="1">
        <f t="shared" si="76"/>
        <v>339.94</v>
      </c>
      <c r="H2474" s="1" t="str">
        <f>_xlfn.XLOOKUP(C2474,Product!A:A,Product!B:B,"not found",0)</f>
        <v>Electra Townie 7D (20-inch) - Boys' - 2017</v>
      </c>
      <c r="I2474" s="1">
        <f t="shared" si="77"/>
        <v>339.94</v>
      </c>
    </row>
    <row r="2475" spans="1:9" x14ac:dyDescent="0.2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 s="1">
        <f t="shared" si="76"/>
        <v>1409.92</v>
      </c>
      <c r="H2475" s="1" t="str">
        <f>_xlfn.XLOOKUP(C2475,Product!A:A,Product!B:B,"not found",0)</f>
        <v>Haro SR 1.3 - 2017</v>
      </c>
      <c r="I2475" s="1">
        <f t="shared" si="77"/>
        <v>1409.92</v>
      </c>
    </row>
    <row r="2476" spans="1:9" x14ac:dyDescent="0.2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 s="1">
        <f t="shared" si="76"/>
        <v>3999.79</v>
      </c>
      <c r="H2476" s="1" t="str">
        <f>_xlfn.XLOOKUP(C2476,Product!A:A,Product!B:B,"not found",0)</f>
        <v>Trek Slash 8 27.5 - 2016</v>
      </c>
      <c r="I2476" s="1">
        <f t="shared" si="77"/>
        <v>3999.79</v>
      </c>
    </row>
    <row r="2477" spans="1:9" x14ac:dyDescent="0.2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 s="1">
        <f t="shared" si="76"/>
        <v>899.93000000000006</v>
      </c>
      <c r="H2477" s="1" t="str">
        <f>_xlfn.XLOOKUP(C2477,Product!A:A,Product!B:B,"not found",0)</f>
        <v>Sun Bicycles Cruz 3 - 2017</v>
      </c>
      <c r="I2477" s="1">
        <f t="shared" si="77"/>
        <v>899.93000000000006</v>
      </c>
    </row>
    <row r="2478" spans="1:9" x14ac:dyDescent="0.2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 s="1">
        <f t="shared" si="76"/>
        <v>469.94</v>
      </c>
      <c r="H2478" s="1" t="str">
        <f>_xlfn.XLOOKUP(C2478,Product!A:A,Product!B:B,"not found",0)</f>
        <v>Surly Wednesday Frameset - 2017</v>
      </c>
      <c r="I2478" s="1">
        <f t="shared" si="77"/>
        <v>469.94</v>
      </c>
    </row>
    <row r="2479" spans="1:9" x14ac:dyDescent="0.2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 s="1">
        <f t="shared" si="76"/>
        <v>5399.9299999999994</v>
      </c>
      <c r="H2479" s="1" t="str">
        <f>_xlfn.XLOOKUP(C2479,Product!A:A,Product!B:B,"not found",0)</f>
        <v>Trek Domane S 6 - 2017</v>
      </c>
      <c r="I2479" s="1">
        <f t="shared" si="77"/>
        <v>5399.9299999999994</v>
      </c>
    </row>
    <row r="2480" spans="1:9" x14ac:dyDescent="0.2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 s="1">
        <f t="shared" si="76"/>
        <v>693.78</v>
      </c>
      <c r="H2480" s="1" t="str">
        <f>_xlfn.XLOOKUP(C2480,Product!A:A,Product!B:B,"not found",0)</f>
        <v>Sun Bicycles Lil Bolt Type-R - 2017</v>
      </c>
      <c r="I2480" s="1">
        <f t="shared" si="77"/>
        <v>693.78</v>
      </c>
    </row>
    <row r="2481" spans="1:9" x14ac:dyDescent="0.2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 s="1">
        <f t="shared" si="76"/>
        <v>3499.9199999999996</v>
      </c>
      <c r="H2481" s="1" t="str">
        <f>_xlfn.XLOOKUP(C2481,Product!A:A,Product!B:B,"not found",0)</f>
        <v>Trek Boone Race Shop Limited - 2017</v>
      </c>
      <c r="I2481" s="1">
        <f t="shared" si="77"/>
        <v>3499.9199999999996</v>
      </c>
    </row>
    <row r="2482" spans="1:9" x14ac:dyDescent="0.2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 s="1">
        <f t="shared" si="76"/>
        <v>449.79</v>
      </c>
      <c r="H2482" s="1" t="str">
        <f>_xlfn.XLOOKUP(C2482,Product!A:A,Product!B:B,"not found",0)</f>
        <v>Sun Bicycles Cruz 3 - 2017</v>
      </c>
      <c r="I2482" s="1">
        <f t="shared" si="77"/>
        <v>449.79</v>
      </c>
    </row>
    <row r="2483" spans="1:9" x14ac:dyDescent="0.2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 s="1">
        <f t="shared" si="76"/>
        <v>549.89</v>
      </c>
      <c r="H2483" s="1" t="str">
        <f>_xlfn.XLOOKUP(C2483,Product!A:A,Product!B:B,"not found",0)</f>
        <v>Haro Flightline Two 26 Plus - 2017</v>
      </c>
      <c r="I2483" s="1">
        <f t="shared" si="77"/>
        <v>549.89</v>
      </c>
    </row>
    <row r="2484" spans="1:9" x14ac:dyDescent="0.2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 s="1">
        <f t="shared" si="76"/>
        <v>1999.78</v>
      </c>
      <c r="H2484" s="1" t="str">
        <f>_xlfn.XLOOKUP(C2484,Product!A:A,Product!B:B,"not found",0)</f>
        <v>Surly Ice Cream Truck Frameset - 2017</v>
      </c>
      <c r="I2484" s="1">
        <f t="shared" si="77"/>
        <v>1999.78</v>
      </c>
    </row>
    <row r="2485" spans="1:9" x14ac:dyDescent="0.2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 s="1">
        <f t="shared" si="76"/>
        <v>833.93000000000006</v>
      </c>
      <c r="H2485" s="1" t="str">
        <f>_xlfn.XLOOKUP(C2485,Product!A:A,Product!B:B,"not found",0)</f>
        <v>Sun Bicycles Cruz 7 - 2017</v>
      </c>
      <c r="I2485" s="1">
        <f t="shared" si="77"/>
        <v>833.93000000000006</v>
      </c>
    </row>
    <row r="2486" spans="1:9" x14ac:dyDescent="0.2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 s="1">
        <f t="shared" si="76"/>
        <v>6999.91</v>
      </c>
      <c r="H2486" s="1" t="str">
        <f>_xlfn.XLOOKUP(C2486,Product!A:A,Product!B:B,"not found",0)</f>
        <v>Trek Boone 7 - 2017</v>
      </c>
      <c r="I2486" s="1">
        <f t="shared" si="77"/>
        <v>6999.91</v>
      </c>
    </row>
    <row r="2487" spans="1:9" x14ac:dyDescent="0.2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 s="1">
        <f t="shared" si="76"/>
        <v>749.89</v>
      </c>
      <c r="H2487" s="1" t="str">
        <f>_xlfn.XLOOKUP(C2487,Product!A:A,Product!B:B,"not found",0)</f>
        <v>Surly Ogre Frameset - 2017</v>
      </c>
      <c r="I2487" s="1">
        <f t="shared" si="77"/>
        <v>749.89</v>
      </c>
    </row>
    <row r="2488" spans="1:9" x14ac:dyDescent="0.2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 s="1">
        <f t="shared" si="76"/>
        <v>939.88</v>
      </c>
      <c r="H2488" s="1" t="str">
        <f>_xlfn.XLOOKUP(C2488,Product!A:A,Product!B:B,"not found",0)</f>
        <v>Trek Farley Alloy Frameset - 2017</v>
      </c>
      <c r="I2488" s="1">
        <f t="shared" si="77"/>
        <v>939.88</v>
      </c>
    </row>
    <row r="2489" spans="1:9" x14ac:dyDescent="0.2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 s="1">
        <f t="shared" si="76"/>
        <v>5499.94</v>
      </c>
      <c r="H2489" s="1" t="str">
        <f>_xlfn.XLOOKUP(C2489,Product!A:A,Product!B:B,"not found",0)</f>
        <v>Trek Domane SLR 6 Disc - 2017</v>
      </c>
      <c r="I2489" s="1">
        <f t="shared" si="77"/>
        <v>5499.94</v>
      </c>
    </row>
    <row r="2490" spans="1:9" x14ac:dyDescent="0.2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 s="1">
        <f t="shared" si="76"/>
        <v>1999.93</v>
      </c>
      <c r="H2490" s="1" t="str">
        <f>_xlfn.XLOOKUP(C2490,Product!A:A,Product!B:B,"not found",0)</f>
        <v>Surly Big Dummy Frameset - 2017</v>
      </c>
      <c r="I2490" s="1">
        <f t="shared" si="77"/>
        <v>1999.93</v>
      </c>
    </row>
    <row r="2491" spans="1:9" x14ac:dyDescent="0.2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 s="1">
        <f t="shared" si="76"/>
        <v>749.89</v>
      </c>
      <c r="H2491" s="1" t="str">
        <f>_xlfn.XLOOKUP(C2491,Product!A:A,Product!B:B,"not found",0)</f>
        <v>Sun Bicycles Brickell Tandem 7 - 2017</v>
      </c>
      <c r="I2491" s="1">
        <f t="shared" si="77"/>
        <v>749.89</v>
      </c>
    </row>
    <row r="2492" spans="1:9" x14ac:dyDescent="0.2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 s="1">
        <f t="shared" si="76"/>
        <v>1599.91</v>
      </c>
      <c r="H2492" s="1" t="str">
        <f>_xlfn.XLOOKUP(C2492,Product!A:A,Product!B:B,"not found",0)</f>
        <v>Electra Glam Punk 3i Ladies' - 2017</v>
      </c>
      <c r="I2492" s="1">
        <f t="shared" si="77"/>
        <v>1599.91</v>
      </c>
    </row>
    <row r="2493" spans="1:9" x14ac:dyDescent="0.2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 s="1">
        <f t="shared" si="76"/>
        <v>2641.88</v>
      </c>
      <c r="H2493" s="1" t="str">
        <f>_xlfn.XLOOKUP(C2493,Product!A:A,Product!B:B,"not found",0)</f>
        <v>Heller Shagamaw Frame - 2016</v>
      </c>
      <c r="I2493" s="1">
        <f t="shared" si="77"/>
        <v>2641.88</v>
      </c>
    </row>
    <row r="2494" spans="1:9" x14ac:dyDescent="0.2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 s="1">
        <f t="shared" si="76"/>
        <v>1059.93</v>
      </c>
      <c r="H2494" s="1" t="str">
        <f>_xlfn.XLOOKUP(C2494,Product!A:A,Product!B:B,"not found",0)</f>
        <v>Electra Moto 1 - 2016</v>
      </c>
      <c r="I2494" s="1">
        <f t="shared" si="77"/>
        <v>1059.93</v>
      </c>
    </row>
    <row r="2495" spans="1:9" x14ac:dyDescent="0.2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 s="1">
        <f t="shared" si="76"/>
        <v>269.92</v>
      </c>
      <c r="H2495" s="1" t="str">
        <f>_xlfn.XLOOKUP(C2495,Product!A:A,Product!B:B,"not found",0)</f>
        <v>Electra Girl's Hawaii 1 (16-inch) - 2015/2016</v>
      </c>
      <c r="I2495" s="1">
        <f t="shared" si="77"/>
        <v>269.92</v>
      </c>
    </row>
    <row r="2496" spans="1:9" x14ac:dyDescent="0.2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 s="1">
        <f t="shared" si="76"/>
        <v>470.79</v>
      </c>
      <c r="H2496" s="1" t="str">
        <f>_xlfn.XLOOKUP(C2496,Product!A:A,Product!B:B,"not found",0)</f>
        <v>Sun Bicycles Drifter 7 - Women's - 2017</v>
      </c>
      <c r="I2496" s="1">
        <f t="shared" si="77"/>
        <v>470.79</v>
      </c>
    </row>
    <row r="2497" spans="1:9" x14ac:dyDescent="0.2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 s="1">
        <f t="shared" si="76"/>
        <v>857.8</v>
      </c>
      <c r="H2497" s="1" t="str">
        <f>_xlfn.XLOOKUP(C2497,Product!A:A,Product!B:B,"not found",0)</f>
        <v>Pure Cycles Vine 8-Speed - 2016</v>
      </c>
      <c r="I2497" s="1">
        <f t="shared" si="77"/>
        <v>857.8</v>
      </c>
    </row>
    <row r="2498" spans="1:9" x14ac:dyDescent="0.2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 s="1">
        <f t="shared" si="76"/>
        <v>501.78000000000003</v>
      </c>
      <c r="H2498" s="1" t="str">
        <f>_xlfn.XLOOKUP(C2498,Product!A:A,Product!B:B,"not found",0)</f>
        <v>Sun Bicycles Revolutions 24 - 2017</v>
      </c>
      <c r="I2498" s="1">
        <f t="shared" si="77"/>
        <v>501.78000000000003</v>
      </c>
    </row>
    <row r="2499" spans="1:9" x14ac:dyDescent="0.2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 s="1">
        <f t="shared" ref="G2499:G2562" si="78">(E2499*D2499)-F2499</f>
        <v>349.92</v>
      </c>
      <c r="H2499" s="1" t="str">
        <f>_xlfn.XLOOKUP(C2499,Product!A:A,Product!B:B,"not found",0)</f>
        <v>Electra Moto 3i (20-inch) - Boy's - 2017</v>
      </c>
      <c r="I2499" s="1">
        <f t="shared" ref="I2499:I2562" si="79">(D2499*E2499)-F2499</f>
        <v>349.92</v>
      </c>
    </row>
    <row r="2500" spans="1:9" x14ac:dyDescent="0.2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 s="1">
        <f t="shared" si="78"/>
        <v>833.93000000000006</v>
      </c>
      <c r="H2500" s="1" t="str">
        <f>_xlfn.XLOOKUP(C2500,Product!A:A,Product!B:B,"not found",0)</f>
        <v>Sun Bicycles Cruz 7 - 2017</v>
      </c>
      <c r="I2500" s="1">
        <f t="shared" si="79"/>
        <v>833.93000000000006</v>
      </c>
    </row>
    <row r="2501" spans="1:9" x14ac:dyDescent="0.2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 s="1">
        <f t="shared" si="78"/>
        <v>749.92</v>
      </c>
      <c r="H2501" s="1" t="str">
        <f>_xlfn.XLOOKUP(C2501,Product!A:A,Product!B:B,"not found",0)</f>
        <v>Sun Bicycles Brickell Tandem 7 - 2017</v>
      </c>
      <c r="I2501" s="1">
        <f t="shared" si="79"/>
        <v>749.92</v>
      </c>
    </row>
    <row r="2502" spans="1:9" x14ac:dyDescent="0.2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 s="1">
        <f t="shared" si="78"/>
        <v>551.89</v>
      </c>
      <c r="H2502" s="1" t="str">
        <f>_xlfn.XLOOKUP(C2502,Product!A:A,Product!B:B,"not found",0)</f>
        <v>Sun Bicycles Streamway 3 - 2017</v>
      </c>
      <c r="I2502" s="1">
        <f t="shared" si="79"/>
        <v>551.89</v>
      </c>
    </row>
    <row r="2503" spans="1:9" x14ac:dyDescent="0.2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 s="1">
        <f t="shared" si="78"/>
        <v>551.79</v>
      </c>
      <c r="H2503" s="1" t="str">
        <f>_xlfn.XLOOKUP(C2503,Product!A:A,Product!B:B,"not found",0)</f>
        <v>Sun Bicycles Streamway 3 - 2017</v>
      </c>
      <c r="I2503" s="1">
        <f t="shared" si="79"/>
        <v>551.79</v>
      </c>
    </row>
    <row r="2504" spans="1:9" x14ac:dyDescent="0.2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 s="1">
        <f t="shared" si="78"/>
        <v>269.89</v>
      </c>
      <c r="H2504" s="1" t="str">
        <f>_xlfn.XLOOKUP(C2504,Product!A:A,Product!B:B,"not found",0)</f>
        <v>Electra Cruiser 1 (24-Inch) - 2016</v>
      </c>
      <c r="I2504" s="1">
        <f t="shared" si="79"/>
        <v>269.89</v>
      </c>
    </row>
    <row r="2505" spans="1:9" x14ac:dyDescent="0.2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 s="1">
        <f t="shared" si="78"/>
        <v>939.78</v>
      </c>
      <c r="H2505" s="1" t="str">
        <f>_xlfn.XLOOKUP(C2505,Product!A:A,Product!B:B,"not found",0)</f>
        <v>Surly Ice Cream Truck Frameset - 2016</v>
      </c>
      <c r="I2505" s="1">
        <f t="shared" si="79"/>
        <v>939.78</v>
      </c>
    </row>
    <row r="2506" spans="1:9" x14ac:dyDescent="0.2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 s="1">
        <f t="shared" si="78"/>
        <v>897.95</v>
      </c>
      <c r="H2506" s="1" t="str">
        <f>_xlfn.XLOOKUP(C2506,Product!A:A,Product!B:B,"not found",0)</f>
        <v>Pure Cycles Western 3-Speed - Women's - 2015/2016</v>
      </c>
      <c r="I2506" s="1">
        <f t="shared" si="79"/>
        <v>897.95</v>
      </c>
    </row>
    <row r="2507" spans="1:9" x14ac:dyDescent="0.2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 s="1">
        <f t="shared" si="78"/>
        <v>979.78</v>
      </c>
      <c r="H2507" s="1" t="str">
        <f>_xlfn.XLOOKUP(C2507,Product!A:A,Product!B:B,"not found",0)</f>
        <v>Electra Townie 3i EQ (20-inch) - Boys' - 2017</v>
      </c>
      <c r="I2507" s="1">
        <f t="shared" si="79"/>
        <v>979.78</v>
      </c>
    </row>
    <row r="2508" spans="1:9" x14ac:dyDescent="0.2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 s="1">
        <f t="shared" si="78"/>
        <v>1499.91</v>
      </c>
      <c r="H2508" s="1" t="str">
        <f>_xlfn.XLOOKUP(C2508,Product!A:A,Product!B:B,"not found",0)</f>
        <v>Ritchey Timberwolf Frameset - 2016</v>
      </c>
      <c r="I2508" s="1">
        <f t="shared" si="79"/>
        <v>1499.91</v>
      </c>
    </row>
    <row r="2509" spans="1:9" x14ac:dyDescent="0.2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 s="1">
        <f t="shared" si="78"/>
        <v>299.78000000000003</v>
      </c>
      <c r="H2509" s="1" t="str">
        <f>_xlfn.XLOOKUP(C2509,Product!A:A,Product!B:B,"not found",0)</f>
        <v>Trek Boy's Kickster - 2015/2017</v>
      </c>
      <c r="I2509" s="1">
        <f t="shared" si="79"/>
        <v>299.78000000000003</v>
      </c>
    </row>
    <row r="2510" spans="1:9" x14ac:dyDescent="0.2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 s="1">
        <f t="shared" si="78"/>
        <v>659.92</v>
      </c>
      <c r="H2510" s="1" t="str">
        <f>_xlfn.XLOOKUP(C2510,Product!A:A,Product!B:B,"not found",0)</f>
        <v>Electra Amsterdam Original 3i Ladies' - 2017</v>
      </c>
      <c r="I2510" s="1">
        <f t="shared" si="79"/>
        <v>659.92</v>
      </c>
    </row>
    <row r="2511" spans="1:9" x14ac:dyDescent="0.2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 s="1">
        <f t="shared" si="78"/>
        <v>4999.78</v>
      </c>
      <c r="H2511" s="1" t="str">
        <f>_xlfn.XLOOKUP(C2511,Product!A:A,Product!B:B,"not found",0)</f>
        <v>Surly Karate Monkey 27.5+ Frameset - 2017</v>
      </c>
      <c r="I2511" s="1">
        <f t="shared" si="79"/>
        <v>4999.78</v>
      </c>
    </row>
    <row r="2512" spans="1:9" x14ac:dyDescent="0.2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 s="1">
        <f t="shared" si="78"/>
        <v>299.89</v>
      </c>
      <c r="H2512" s="1" t="str">
        <f>_xlfn.XLOOKUP(C2512,Product!A:A,Product!B:B,"not found",0)</f>
        <v>Electra Girl's Hawaii 1 16" - 2017</v>
      </c>
      <c r="I2512" s="1">
        <f t="shared" si="79"/>
        <v>299.89</v>
      </c>
    </row>
    <row r="2513" spans="1:9" x14ac:dyDescent="0.2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 s="1">
        <f t="shared" si="78"/>
        <v>1320.92</v>
      </c>
      <c r="H2513" s="1" t="str">
        <f>_xlfn.XLOOKUP(C2513,Product!A:A,Product!B:B,"not found",0)</f>
        <v>Heller Shagamaw Frame - 2016</v>
      </c>
      <c r="I2513" s="1">
        <f t="shared" si="79"/>
        <v>1320.92</v>
      </c>
    </row>
    <row r="2514" spans="1:9" x14ac:dyDescent="0.2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 s="1">
        <f t="shared" si="78"/>
        <v>599.89</v>
      </c>
      <c r="H2514" s="1" t="str">
        <f>_xlfn.XLOOKUP(C2514,Product!A:A,Product!B:B,"not found",0)</f>
        <v>Electra Townie Original 7D EQ - 2016</v>
      </c>
      <c r="I2514" s="1">
        <f t="shared" si="79"/>
        <v>599.89</v>
      </c>
    </row>
    <row r="2515" spans="1:9" x14ac:dyDescent="0.2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 s="1">
        <f t="shared" si="78"/>
        <v>250.79000000000002</v>
      </c>
      <c r="H2515" s="1" t="str">
        <f>_xlfn.XLOOKUP(C2515,Product!A:A,Product!B:B,"not found",0)</f>
        <v>Sun Bicycles Revolutions 24 - 2017</v>
      </c>
      <c r="I2515" s="1">
        <f t="shared" si="79"/>
        <v>250.79000000000002</v>
      </c>
    </row>
    <row r="2516" spans="1:9" x14ac:dyDescent="0.2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 s="1">
        <f t="shared" si="78"/>
        <v>489.92</v>
      </c>
      <c r="H2516" s="1" t="str">
        <f>_xlfn.XLOOKUP(C2516,Product!A:A,Product!B:B,"not found",0)</f>
        <v>Electra Straight 8 3i (20-inch) - Boy's - 2017</v>
      </c>
      <c r="I2516" s="1">
        <f t="shared" si="79"/>
        <v>489.92</v>
      </c>
    </row>
    <row r="2517" spans="1:9" x14ac:dyDescent="0.2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 s="1">
        <f t="shared" si="78"/>
        <v>5999.79</v>
      </c>
      <c r="H2517" s="1" t="str">
        <f>_xlfn.XLOOKUP(C2517,Product!A:A,Product!B:B,"not found",0)</f>
        <v>Trek Silque SLR 7 Women's - 2017</v>
      </c>
      <c r="I2517" s="1">
        <f t="shared" si="79"/>
        <v>5999.79</v>
      </c>
    </row>
    <row r="2518" spans="1:9" x14ac:dyDescent="0.2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 s="1">
        <f t="shared" si="78"/>
        <v>979.93000000000006</v>
      </c>
      <c r="H2518" s="1" t="str">
        <f>_xlfn.XLOOKUP(C2518,Product!A:A,Product!B:B,"not found",0)</f>
        <v>Electra Townie Original 7D - 2017</v>
      </c>
      <c r="I2518" s="1">
        <f t="shared" si="79"/>
        <v>979.93000000000006</v>
      </c>
    </row>
    <row r="2519" spans="1:9" x14ac:dyDescent="0.2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 s="1">
        <f t="shared" si="78"/>
        <v>250.89000000000001</v>
      </c>
      <c r="H2519" s="1" t="str">
        <f>_xlfn.XLOOKUP(C2519,Product!A:A,Product!B:B,"not found",0)</f>
        <v>Sun Bicycles Revolutions 24 - Girl's - 2017</v>
      </c>
      <c r="I2519" s="1">
        <f t="shared" si="79"/>
        <v>250.89000000000001</v>
      </c>
    </row>
    <row r="2520" spans="1:9" x14ac:dyDescent="0.2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 s="1">
        <f t="shared" si="78"/>
        <v>6999.91</v>
      </c>
      <c r="H2520" s="1" t="str">
        <f>_xlfn.XLOOKUP(C2520,Product!A:A,Product!B:B,"not found",0)</f>
        <v>Trek Boone Race Shop Limited - 2017</v>
      </c>
      <c r="I2520" s="1">
        <f t="shared" si="79"/>
        <v>6999.91</v>
      </c>
    </row>
    <row r="2521" spans="1:9" x14ac:dyDescent="0.2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 s="1">
        <f t="shared" si="78"/>
        <v>899.78</v>
      </c>
      <c r="H2521" s="1" t="str">
        <f>_xlfn.XLOOKUP(C2521,Product!A:A,Product!B:B,"not found",0)</f>
        <v>Sun Bicycles Cruz 3 - Women's - 2017</v>
      </c>
      <c r="I2521" s="1">
        <f t="shared" si="79"/>
        <v>899.78</v>
      </c>
    </row>
    <row r="2522" spans="1:9" x14ac:dyDescent="0.2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 s="1">
        <f t="shared" si="78"/>
        <v>3999.91</v>
      </c>
      <c r="H2522" s="1" t="str">
        <f>_xlfn.XLOOKUP(C2522,Product!A:A,Product!B:B,"not found",0)</f>
        <v>Trek Emonda S 5 - 2017</v>
      </c>
      <c r="I2522" s="1">
        <f t="shared" si="79"/>
        <v>3999.91</v>
      </c>
    </row>
    <row r="2523" spans="1:9" x14ac:dyDescent="0.2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 s="1">
        <f t="shared" si="78"/>
        <v>539.94000000000005</v>
      </c>
      <c r="H2523" s="1" t="str">
        <f>_xlfn.XLOOKUP(C2523,Product!A:A,Product!B:B,"not found",0)</f>
        <v>Haro SR 1.1 - 2017</v>
      </c>
      <c r="I2523" s="1">
        <f t="shared" si="79"/>
        <v>539.94000000000005</v>
      </c>
    </row>
    <row r="2524" spans="1:9" x14ac:dyDescent="0.2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 s="1">
        <f t="shared" si="78"/>
        <v>2641.93</v>
      </c>
      <c r="H2524" s="1" t="str">
        <f>_xlfn.XLOOKUP(C2524,Product!A:A,Product!B:B,"not found",0)</f>
        <v>Heller Shagamaw Frame - 2016</v>
      </c>
      <c r="I2524" s="1">
        <f t="shared" si="79"/>
        <v>2641.93</v>
      </c>
    </row>
    <row r="2525" spans="1:9" x14ac:dyDescent="0.2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 s="1">
        <f t="shared" si="78"/>
        <v>6999.9299999999994</v>
      </c>
      <c r="H2525" s="1" t="str">
        <f>_xlfn.XLOOKUP(C2525,Product!A:A,Product!B:B,"not found",0)</f>
        <v>Trek Domane SL 6 - 2017</v>
      </c>
      <c r="I2525" s="1">
        <f t="shared" si="79"/>
        <v>6999.9299999999994</v>
      </c>
    </row>
    <row r="2526" spans="1:9" x14ac:dyDescent="0.2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 s="1">
        <f t="shared" si="78"/>
        <v>833.91</v>
      </c>
      <c r="H2526" s="1" t="str">
        <f>_xlfn.XLOOKUP(C2526,Product!A:A,Product!B:B,"not found",0)</f>
        <v>Sun Bicycles Cruz 7 - 2017</v>
      </c>
      <c r="I2526" s="1">
        <f t="shared" si="79"/>
        <v>833.91</v>
      </c>
    </row>
    <row r="2527" spans="1:9" x14ac:dyDescent="0.2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 s="1">
        <f t="shared" si="78"/>
        <v>2819.78</v>
      </c>
      <c r="H2527" s="1" t="str">
        <f>_xlfn.XLOOKUP(C2527,Product!A:A,Product!B:B,"not found",0)</f>
        <v>Haro SR 1.3 - 2017</v>
      </c>
      <c r="I2527" s="1">
        <f t="shared" si="79"/>
        <v>2819.78</v>
      </c>
    </row>
    <row r="2528" spans="1:9" x14ac:dyDescent="0.2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 s="1">
        <f t="shared" si="78"/>
        <v>1548.9</v>
      </c>
      <c r="H2528" s="1" t="str">
        <f>_xlfn.XLOOKUP(C2528,Product!A:A,Product!B:B,"not found",0)</f>
        <v>Surly Straggler - 2016</v>
      </c>
      <c r="I2528" s="1">
        <f t="shared" si="79"/>
        <v>1548.9</v>
      </c>
    </row>
    <row r="2529" spans="1:9" x14ac:dyDescent="0.2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 s="1">
        <f t="shared" si="78"/>
        <v>539.93000000000006</v>
      </c>
      <c r="H2529" s="1" t="str">
        <f>_xlfn.XLOOKUP(C2529,Product!A:A,Product!B:B,"not found",0)</f>
        <v>Electra Cruiser 1 (24-Inch) - 2016</v>
      </c>
      <c r="I2529" s="1">
        <f t="shared" si="79"/>
        <v>539.93000000000006</v>
      </c>
    </row>
    <row r="2530" spans="1:9" x14ac:dyDescent="0.2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 s="1">
        <f t="shared" si="78"/>
        <v>449.92</v>
      </c>
      <c r="H2530" s="1" t="str">
        <f>_xlfn.XLOOKUP(C2530,Product!A:A,Product!B:B,"not found",0)</f>
        <v>Sun Bicycles Cruz 3 - 2017</v>
      </c>
      <c r="I2530" s="1">
        <f t="shared" si="79"/>
        <v>449.92</v>
      </c>
    </row>
    <row r="2531" spans="1:9" x14ac:dyDescent="0.2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 s="1">
        <f t="shared" si="78"/>
        <v>5299.8899999999994</v>
      </c>
      <c r="H2531" s="1" t="str">
        <f>_xlfn.XLOOKUP(C2531,Product!A:A,Product!B:B,"not found",0)</f>
        <v>Trek Fuel EX 9.8 27.5 Plus - 2017</v>
      </c>
      <c r="I2531" s="1">
        <f t="shared" si="79"/>
        <v>5299.8899999999994</v>
      </c>
    </row>
    <row r="2532" spans="1:9" x14ac:dyDescent="0.2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 s="1">
        <f t="shared" si="78"/>
        <v>5299.94</v>
      </c>
      <c r="H2532" s="1" t="str">
        <f>_xlfn.XLOOKUP(C2532,Product!A:A,Product!B:B,"not found",0)</f>
        <v>Trek Remedy 9.8 - 2017</v>
      </c>
      <c r="I2532" s="1">
        <f t="shared" si="79"/>
        <v>5299.94</v>
      </c>
    </row>
    <row r="2533" spans="1:9" x14ac:dyDescent="0.2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 s="1">
        <f t="shared" si="78"/>
        <v>999.94</v>
      </c>
      <c r="H2533" s="1" t="str">
        <f>_xlfn.XLOOKUP(C2533,Product!A:A,Product!B:B,"not found",0)</f>
        <v>Surly Ice Cream Truck Frameset - 2017</v>
      </c>
      <c r="I2533" s="1">
        <f t="shared" si="79"/>
        <v>999.94</v>
      </c>
    </row>
    <row r="2534" spans="1:9" x14ac:dyDescent="0.2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 s="1">
        <f t="shared" si="78"/>
        <v>11999.93</v>
      </c>
      <c r="H2534" s="1" t="str">
        <f>_xlfn.XLOOKUP(C2534,Product!A:A,Product!B:B,"not found",0)</f>
        <v>Trek Silque SLR 7 Women's - 2017</v>
      </c>
      <c r="I2534" s="1">
        <f t="shared" si="79"/>
        <v>11999.93</v>
      </c>
    </row>
    <row r="2535" spans="1:9" x14ac:dyDescent="0.2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 s="1">
        <f t="shared" si="78"/>
        <v>659.89</v>
      </c>
      <c r="H2535" s="1" t="str">
        <f>_xlfn.XLOOKUP(C2535,Product!A:A,Product!B:B,"not found",0)</f>
        <v>Electra Amsterdam Original 3i - 2015/2017</v>
      </c>
      <c r="I2535" s="1">
        <f t="shared" si="79"/>
        <v>659.89</v>
      </c>
    </row>
    <row r="2536" spans="1:9" x14ac:dyDescent="0.2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 s="1">
        <f t="shared" si="78"/>
        <v>939.88</v>
      </c>
      <c r="H2536" s="1" t="str">
        <f>_xlfn.XLOOKUP(C2536,Product!A:A,Product!B:B,"not found",0)</f>
        <v>Surly Wednesday Frameset - 2017</v>
      </c>
      <c r="I2536" s="1">
        <f t="shared" si="79"/>
        <v>939.88</v>
      </c>
    </row>
    <row r="2537" spans="1:9" x14ac:dyDescent="0.2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 s="1">
        <f t="shared" si="78"/>
        <v>1199.78</v>
      </c>
      <c r="H2537" s="1" t="str">
        <f>_xlfn.XLOOKUP(C2537,Product!A:A,Product!B:B,"not found",0)</f>
        <v>Electra Townie Original 7D EQ - 2016</v>
      </c>
      <c r="I2537" s="1">
        <f t="shared" si="79"/>
        <v>1199.78</v>
      </c>
    </row>
    <row r="2538" spans="1:9" x14ac:dyDescent="0.2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 s="1">
        <f t="shared" si="78"/>
        <v>1099.8800000000001</v>
      </c>
      <c r="H2538" s="1" t="str">
        <f>_xlfn.XLOOKUP(C2538,Product!A:A,Product!B:B,"not found",0)</f>
        <v>Electra Townie Original 21D - 2016</v>
      </c>
      <c r="I2538" s="1">
        <f t="shared" si="79"/>
        <v>1099.8800000000001</v>
      </c>
    </row>
    <row r="2539" spans="1:9" x14ac:dyDescent="0.2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 s="1">
        <f t="shared" si="78"/>
        <v>1199.8800000000001</v>
      </c>
      <c r="H2539" s="1" t="str">
        <f>_xlfn.XLOOKUP(C2539,Product!A:A,Product!B:B,"not found",0)</f>
        <v>Electra Townie Original 7D EQ - 2016</v>
      </c>
      <c r="I2539" s="1">
        <f t="shared" si="79"/>
        <v>1199.8800000000001</v>
      </c>
    </row>
    <row r="2540" spans="1:9" x14ac:dyDescent="0.2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 s="1">
        <f t="shared" si="78"/>
        <v>1067.8800000000001</v>
      </c>
      <c r="H2540" s="1" t="str">
        <f>_xlfn.XLOOKUP(C2540,Product!A:A,Product!B:B,"not found",0)</f>
        <v>Sun Bicycles Streamway 7 - 2017</v>
      </c>
      <c r="I2540" s="1">
        <f t="shared" si="79"/>
        <v>1067.8800000000001</v>
      </c>
    </row>
    <row r="2541" spans="1:9" x14ac:dyDescent="0.2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 s="1">
        <f t="shared" si="78"/>
        <v>875.94</v>
      </c>
      <c r="H2541" s="1" t="str">
        <f>_xlfn.XLOOKUP(C2541,Product!A:A,Product!B:B,"not found",0)</f>
        <v>Surly Steamroller - 2017</v>
      </c>
      <c r="I2541" s="1">
        <f t="shared" si="79"/>
        <v>875.94</v>
      </c>
    </row>
    <row r="2542" spans="1:9" x14ac:dyDescent="0.2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 s="1">
        <f t="shared" si="78"/>
        <v>250.89000000000001</v>
      </c>
      <c r="H2542" s="1" t="str">
        <f>_xlfn.XLOOKUP(C2542,Product!A:A,Product!B:B,"not found",0)</f>
        <v>Sun Bicycles Revolutions 24 - Girl's - 2017</v>
      </c>
      <c r="I2542" s="1">
        <f t="shared" si="79"/>
        <v>250.89000000000001</v>
      </c>
    </row>
    <row r="2543" spans="1:9" x14ac:dyDescent="0.2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 s="1">
        <f t="shared" si="78"/>
        <v>693.88</v>
      </c>
      <c r="H2543" s="1" t="str">
        <f>_xlfn.XLOOKUP(C2543,Product!A:A,Product!B:B,"not found",0)</f>
        <v>Sun Bicycles Lil Bolt Type-R - 2017</v>
      </c>
      <c r="I2543" s="1">
        <f t="shared" si="79"/>
        <v>693.88</v>
      </c>
    </row>
    <row r="2544" spans="1:9" x14ac:dyDescent="0.2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 s="1">
        <f t="shared" si="78"/>
        <v>833.88</v>
      </c>
      <c r="H2544" s="1" t="str">
        <f>_xlfn.XLOOKUP(C2544,Product!A:A,Product!B:B,"not found",0)</f>
        <v>Sun Bicycles Cruz 7 - 2017</v>
      </c>
      <c r="I2544" s="1">
        <f t="shared" si="79"/>
        <v>833.88</v>
      </c>
    </row>
    <row r="2545" spans="1:9" x14ac:dyDescent="0.2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 s="1">
        <f t="shared" si="78"/>
        <v>469.94</v>
      </c>
      <c r="H2545" s="1" t="str">
        <f>_xlfn.XLOOKUP(C2545,Product!A:A,Product!B:B,"not found",0)</f>
        <v>Trek Farley Alloy Frameset - 2017</v>
      </c>
      <c r="I2545" s="1">
        <f t="shared" si="79"/>
        <v>469.94</v>
      </c>
    </row>
    <row r="2546" spans="1:9" x14ac:dyDescent="0.2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 s="1">
        <f t="shared" si="78"/>
        <v>1665.88</v>
      </c>
      <c r="H2546" s="1" t="str">
        <f>_xlfn.XLOOKUP(C2546,Product!A:A,Product!B:B,"not found",0)</f>
        <v>Sun Bicycles Spider 3i - 2017</v>
      </c>
      <c r="I2546" s="1">
        <f t="shared" si="79"/>
        <v>1665.88</v>
      </c>
    </row>
    <row r="2547" spans="1:9" x14ac:dyDescent="0.2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 s="1">
        <f t="shared" si="78"/>
        <v>5999.8899999999994</v>
      </c>
      <c r="H2547" s="1" t="str">
        <f>_xlfn.XLOOKUP(C2547,Product!A:A,Product!B:B,"not found",0)</f>
        <v>Trek Silque SLR 7 Women's - 2017</v>
      </c>
      <c r="I2547" s="1">
        <f t="shared" si="79"/>
        <v>5999.8899999999994</v>
      </c>
    </row>
    <row r="2548" spans="1:9" x14ac:dyDescent="0.2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 s="1">
        <f t="shared" si="78"/>
        <v>832.89</v>
      </c>
      <c r="H2548" s="1" t="str">
        <f>_xlfn.XLOOKUP(C2548,Product!A:A,Product!B:B,"not found",0)</f>
        <v>Surly Troll Frameset - 2017</v>
      </c>
      <c r="I2548" s="1">
        <f t="shared" si="79"/>
        <v>832.89</v>
      </c>
    </row>
    <row r="2549" spans="1:9" x14ac:dyDescent="0.2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 s="1">
        <f t="shared" si="78"/>
        <v>5999.78</v>
      </c>
      <c r="H2549" s="1" t="str">
        <f>_xlfn.XLOOKUP(C2549,Product!A:A,Product!B:B,"not found",0)</f>
        <v>Trek Conduit+ - 2016</v>
      </c>
      <c r="I2549" s="1">
        <f t="shared" si="79"/>
        <v>5999.78</v>
      </c>
    </row>
    <row r="2550" spans="1:9" x14ac:dyDescent="0.2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 s="1">
        <f t="shared" si="78"/>
        <v>11999.91</v>
      </c>
      <c r="H2550" s="1" t="str">
        <f>_xlfn.XLOOKUP(C2550,Product!A:A,Product!B:B,"not found",0)</f>
        <v>Trek Silque SLR 7 Women's - 2017</v>
      </c>
      <c r="I2550" s="1">
        <f t="shared" si="79"/>
        <v>11999.91</v>
      </c>
    </row>
    <row r="2551" spans="1:9" x14ac:dyDescent="0.2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 s="1">
        <f t="shared" si="78"/>
        <v>189.94</v>
      </c>
      <c r="H2551" s="1" t="str">
        <f>_xlfn.XLOOKUP(C2551,Product!A:A,Product!B:B,"not found",0)</f>
        <v>Trek Precaliber 12 Girls - 2017</v>
      </c>
      <c r="I2551" s="1">
        <f t="shared" si="79"/>
        <v>189.94</v>
      </c>
    </row>
    <row r="2552" spans="1:9" x14ac:dyDescent="0.2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 s="1">
        <f t="shared" si="78"/>
        <v>501.93</v>
      </c>
      <c r="H2552" s="1" t="str">
        <f>_xlfn.XLOOKUP(C2552,Product!A:A,Product!B:B,"not found",0)</f>
        <v>Sun Bicycles Revolutions 24 - Girl's - 2017</v>
      </c>
      <c r="I2552" s="1">
        <f t="shared" si="79"/>
        <v>501.93</v>
      </c>
    </row>
    <row r="2553" spans="1:9" x14ac:dyDescent="0.2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 s="1">
        <f t="shared" si="78"/>
        <v>869.92</v>
      </c>
      <c r="H2553" s="1" t="str">
        <f>_xlfn.XLOOKUP(C2553,Product!A:A,Product!B:B,"not found",0)</f>
        <v>Haro SR 1.2 - 2017</v>
      </c>
      <c r="I2553" s="1">
        <f t="shared" si="79"/>
        <v>869.92</v>
      </c>
    </row>
    <row r="2554" spans="1:9" x14ac:dyDescent="0.2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 s="1">
        <f t="shared" si="78"/>
        <v>679.78</v>
      </c>
      <c r="H2554" s="1" t="str">
        <f>_xlfn.XLOOKUP(C2554,Product!A:A,Product!B:B,"not found",0)</f>
        <v>Electra Townie 7D (20-inch) - Boys' - 2017</v>
      </c>
      <c r="I2554" s="1">
        <f t="shared" si="79"/>
        <v>679.78</v>
      </c>
    </row>
    <row r="2555" spans="1:9" x14ac:dyDescent="0.2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 s="1">
        <f t="shared" si="78"/>
        <v>449.92</v>
      </c>
      <c r="H2555" s="1" t="str">
        <f>_xlfn.XLOOKUP(C2555,Product!A:A,Product!B:B,"not found",0)</f>
        <v>Sun Bicycles Cruz 3 - 2017</v>
      </c>
      <c r="I2555" s="1">
        <f t="shared" si="79"/>
        <v>449.92</v>
      </c>
    </row>
    <row r="2556" spans="1:9" x14ac:dyDescent="0.2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 s="1">
        <f t="shared" si="78"/>
        <v>699.93000000000006</v>
      </c>
      <c r="H2556" s="1" t="str">
        <f>_xlfn.XLOOKUP(C2556,Product!A:A,Product!B:B,"not found",0)</f>
        <v>Trek Precaliber 24 (21-Speed) - Girls - 2017</v>
      </c>
      <c r="I2556" s="1">
        <f t="shared" si="79"/>
        <v>699.93000000000006</v>
      </c>
    </row>
    <row r="2557" spans="1:9" x14ac:dyDescent="0.2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 s="1">
        <f t="shared" si="78"/>
        <v>1548.95</v>
      </c>
      <c r="H2557" s="1" t="str">
        <f>_xlfn.XLOOKUP(C2557,Product!A:A,Product!B:B,"not found",0)</f>
        <v>Surly Straggler - 2016</v>
      </c>
      <c r="I2557" s="1">
        <f t="shared" si="79"/>
        <v>1548.95</v>
      </c>
    </row>
    <row r="2558" spans="1:9" x14ac:dyDescent="0.2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 s="1">
        <f t="shared" si="78"/>
        <v>533.94000000000005</v>
      </c>
      <c r="H2558" s="1" t="str">
        <f>_xlfn.XLOOKUP(C2558,Product!A:A,Product!B:B,"not found",0)</f>
        <v>Sun Bicycles Streamway 7 - 2017</v>
      </c>
      <c r="I2558" s="1">
        <f t="shared" si="79"/>
        <v>533.94000000000005</v>
      </c>
    </row>
    <row r="2559" spans="1:9" x14ac:dyDescent="0.2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 s="1">
        <f t="shared" si="78"/>
        <v>349.94</v>
      </c>
      <c r="H2559" s="1" t="str">
        <f>_xlfn.XLOOKUP(C2559,Product!A:A,Product!B:B,"not found",0)</f>
        <v>Electra Moto 3i (20-inch) - Boy's - 2017</v>
      </c>
      <c r="I2559" s="1">
        <f t="shared" si="79"/>
        <v>349.94</v>
      </c>
    </row>
    <row r="2560" spans="1:9" x14ac:dyDescent="0.2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 s="1">
        <f t="shared" si="78"/>
        <v>1739.78</v>
      </c>
      <c r="H2560" s="1" t="str">
        <f>_xlfn.XLOOKUP(C2560,Product!A:A,Product!B:B,"not found",0)</f>
        <v>Haro SR 1.2 - 2017</v>
      </c>
      <c r="I2560" s="1">
        <f t="shared" si="79"/>
        <v>1739.78</v>
      </c>
    </row>
    <row r="2561" spans="1:9" x14ac:dyDescent="0.2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 s="1">
        <f t="shared" si="78"/>
        <v>599.91999999999996</v>
      </c>
      <c r="H2561" s="1" t="str">
        <f>_xlfn.XLOOKUP(C2561,Product!A:A,Product!B:B,"not found",0)</f>
        <v>Electra Townie Original 7D EQ - 2016</v>
      </c>
      <c r="I2561" s="1">
        <f t="shared" si="79"/>
        <v>599.91999999999996</v>
      </c>
    </row>
    <row r="2562" spans="1:9" x14ac:dyDescent="0.2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 s="1">
        <f t="shared" si="78"/>
        <v>3999.78</v>
      </c>
      <c r="H2562" s="1" t="str">
        <f>_xlfn.XLOOKUP(C2562,Product!A:A,Product!B:B,"not found",0)</f>
        <v>Trek Emonda S 5 - 2017</v>
      </c>
      <c r="I2562" s="1">
        <f t="shared" si="79"/>
        <v>3999.78</v>
      </c>
    </row>
    <row r="2563" spans="1:9" x14ac:dyDescent="0.2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 s="1">
        <f t="shared" ref="G2563:G2626" si="80">(E2563*D2563)-F2563</f>
        <v>833.91</v>
      </c>
      <c r="H2563" s="1" t="str">
        <f>_xlfn.XLOOKUP(C2563,Product!A:A,Product!B:B,"not found",0)</f>
        <v>Sun Bicycles Cruz 7 - 2017</v>
      </c>
      <c r="I2563" s="1">
        <f t="shared" ref="I2563:I2626" si="81">(D2563*E2563)-F2563</f>
        <v>833.91</v>
      </c>
    </row>
    <row r="2564" spans="1:9" x14ac:dyDescent="0.2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 s="1">
        <f t="shared" si="80"/>
        <v>5199.8799999999992</v>
      </c>
      <c r="H2564" s="1" t="str">
        <f>_xlfn.XLOOKUP(C2564,Product!A:A,Product!B:B,"not found",0)</f>
        <v>Trek Domane S 5 Disc - 2017</v>
      </c>
      <c r="I2564" s="1">
        <f t="shared" si="81"/>
        <v>5199.8799999999992</v>
      </c>
    </row>
    <row r="2565" spans="1:9" x14ac:dyDescent="0.2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 s="1">
        <f t="shared" si="80"/>
        <v>428.9</v>
      </c>
      <c r="H2565" s="1" t="str">
        <f>_xlfn.XLOOKUP(C2565,Product!A:A,Product!B:B,"not found",0)</f>
        <v>Pure Cycles Vine 8-Speed - 2016</v>
      </c>
      <c r="I2565" s="1">
        <f t="shared" si="81"/>
        <v>428.9</v>
      </c>
    </row>
    <row r="2566" spans="1:9" x14ac:dyDescent="0.2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 s="1">
        <f t="shared" si="80"/>
        <v>469.79</v>
      </c>
      <c r="H2566" s="1" t="str">
        <f>_xlfn.XLOOKUP(C2566,Product!A:A,Product!B:B,"not found",0)</f>
        <v>Surly Ice Cream Truck Frameset - 2016</v>
      </c>
      <c r="I2566" s="1">
        <f t="shared" si="81"/>
        <v>469.79</v>
      </c>
    </row>
    <row r="2567" spans="1:9" x14ac:dyDescent="0.2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 s="1">
        <f t="shared" si="80"/>
        <v>1199.93</v>
      </c>
      <c r="H2567" s="1" t="str">
        <f>_xlfn.XLOOKUP(C2567,Product!A:A,Product!B:B,"not found",0)</f>
        <v>Electra Townie Original 7D EQ - 2016</v>
      </c>
      <c r="I2567" s="1">
        <f t="shared" si="81"/>
        <v>1199.93</v>
      </c>
    </row>
    <row r="2568" spans="1:9" x14ac:dyDescent="0.2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 s="1">
        <f t="shared" si="80"/>
        <v>449.92</v>
      </c>
      <c r="H2568" s="1" t="str">
        <f>_xlfn.XLOOKUP(C2568,Product!A:A,Product!B:B,"not found",0)</f>
        <v>Sun Bicycles Cruz 3 - Women's - 2017</v>
      </c>
      <c r="I2568" s="1">
        <f t="shared" si="81"/>
        <v>449.92</v>
      </c>
    </row>
    <row r="2569" spans="1:9" x14ac:dyDescent="0.2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 s="1">
        <f t="shared" si="80"/>
        <v>209.79000000000002</v>
      </c>
      <c r="H2569" s="1" t="str">
        <f>_xlfn.XLOOKUP(C2569,Product!A:A,Product!B:B,"not found",0)</f>
        <v>Trek Precaliber 16 Boys - 2017</v>
      </c>
      <c r="I2569" s="1">
        <f t="shared" si="81"/>
        <v>209.79000000000002</v>
      </c>
    </row>
    <row r="2570" spans="1:9" x14ac:dyDescent="0.2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 s="1">
        <f t="shared" si="80"/>
        <v>9999.93</v>
      </c>
      <c r="H2570" s="1" t="str">
        <f>_xlfn.XLOOKUP(C2570,Product!A:A,Product!B:B,"not found",0)</f>
        <v>Trek Powerfly 8 FS Plus - 2017</v>
      </c>
      <c r="I2570" s="1">
        <f t="shared" si="81"/>
        <v>9999.93</v>
      </c>
    </row>
    <row r="2571" spans="1:9" x14ac:dyDescent="0.2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 s="1">
        <f t="shared" si="80"/>
        <v>4999.91</v>
      </c>
      <c r="H2571" s="1" t="str">
        <f>_xlfn.XLOOKUP(C2571,Product!A:A,Product!B:B,"not found",0)</f>
        <v>Surly Karate Monkey 27.5+ Frameset - 2017</v>
      </c>
      <c r="I2571" s="1">
        <f t="shared" si="81"/>
        <v>4999.91</v>
      </c>
    </row>
    <row r="2572" spans="1:9" x14ac:dyDescent="0.2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 s="1">
        <f t="shared" si="80"/>
        <v>5999.79</v>
      </c>
      <c r="H2572" s="1" t="str">
        <f>_xlfn.XLOOKUP(C2572,Product!A:A,Product!B:B,"not found",0)</f>
        <v>Trek Silque SLR 7 Women's - 2017</v>
      </c>
      <c r="I2572" s="1">
        <f t="shared" si="81"/>
        <v>5999.79</v>
      </c>
    </row>
    <row r="2573" spans="1:9" x14ac:dyDescent="0.2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 s="1">
        <f t="shared" si="80"/>
        <v>5299.92</v>
      </c>
      <c r="H2573" s="1" t="str">
        <f>_xlfn.XLOOKUP(C2573,Product!A:A,Product!B:B,"not found",0)</f>
        <v>Trek Fuel EX 9.8 27.5 Plus - 2017</v>
      </c>
      <c r="I2573" s="1">
        <f t="shared" si="81"/>
        <v>5299.92</v>
      </c>
    </row>
    <row r="2574" spans="1:9" x14ac:dyDescent="0.2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 s="1">
        <f t="shared" si="80"/>
        <v>1099.9100000000001</v>
      </c>
      <c r="H2574" s="1" t="str">
        <f>_xlfn.XLOOKUP(C2574,Product!A:A,Product!B:B,"not found",0)</f>
        <v>Haro Flightline Two 26 Plus - 2017</v>
      </c>
      <c r="I2574" s="1">
        <f t="shared" si="81"/>
        <v>1099.9100000000001</v>
      </c>
    </row>
    <row r="2575" spans="1:9" x14ac:dyDescent="0.2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 s="1">
        <f t="shared" si="80"/>
        <v>209.92000000000002</v>
      </c>
      <c r="H2575" s="1" t="str">
        <f>_xlfn.XLOOKUP(C2575,Product!A:A,Product!B:B,"not found",0)</f>
        <v>Haro Shredder 20 - 2017</v>
      </c>
      <c r="I2575" s="1">
        <f t="shared" si="81"/>
        <v>209.92000000000002</v>
      </c>
    </row>
    <row r="2576" spans="1:9" x14ac:dyDescent="0.2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 s="1">
        <f t="shared" si="80"/>
        <v>549.79</v>
      </c>
      <c r="H2576" s="1" t="str">
        <f>_xlfn.XLOOKUP(C2576,Product!A:A,Product!B:B,"not found",0)</f>
        <v>Electra Townie Original 21D - 2016</v>
      </c>
      <c r="I2576" s="1">
        <f t="shared" si="81"/>
        <v>549.79</v>
      </c>
    </row>
    <row r="2577" spans="1:9" x14ac:dyDescent="0.2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 s="1">
        <f t="shared" si="80"/>
        <v>599.93000000000006</v>
      </c>
      <c r="H2577" s="1" t="str">
        <f>_xlfn.XLOOKUP(C2577,Product!A:A,Product!B:B,"not found",0)</f>
        <v>Electra Girl's Hawaii 1 16" - 2017</v>
      </c>
      <c r="I2577" s="1">
        <f t="shared" si="81"/>
        <v>599.93000000000006</v>
      </c>
    </row>
    <row r="2578" spans="1:9" x14ac:dyDescent="0.2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 s="1">
        <f t="shared" si="80"/>
        <v>3265.91</v>
      </c>
      <c r="H2578" s="1" t="str">
        <f>_xlfn.XLOOKUP(C2578,Product!A:A,Product!B:B,"not found",0)</f>
        <v>Surly Wednesday - 2017</v>
      </c>
      <c r="I2578" s="1">
        <f t="shared" si="81"/>
        <v>3265.91</v>
      </c>
    </row>
    <row r="2579" spans="1:9" x14ac:dyDescent="0.2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 s="1">
        <f t="shared" si="80"/>
        <v>2999.93</v>
      </c>
      <c r="H2579" s="1" t="str">
        <f>_xlfn.XLOOKUP(C2579,Product!A:A,Product!B:B,"not found",0)</f>
        <v>Trek Emonda S 4 - 2017</v>
      </c>
      <c r="I2579" s="1">
        <f t="shared" si="81"/>
        <v>2999.93</v>
      </c>
    </row>
    <row r="2580" spans="1:9" x14ac:dyDescent="0.2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 s="1">
        <f t="shared" si="80"/>
        <v>1665.88</v>
      </c>
      <c r="H2580" s="1" t="str">
        <f>_xlfn.XLOOKUP(C2580,Product!A:A,Product!B:B,"not found",0)</f>
        <v>Surly Troll Frameset - 2017</v>
      </c>
      <c r="I2580" s="1">
        <f t="shared" si="81"/>
        <v>1665.88</v>
      </c>
    </row>
    <row r="2581" spans="1:9" x14ac:dyDescent="0.2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 s="1">
        <f t="shared" si="80"/>
        <v>12999.91</v>
      </c>
      <c r="H2581" s="1" t="str">
        <f>_xlfn.XLOOKUP(C2581,Product!A:A,Product!B:B,"not found",0)</f>
        <v>Trek Silque SLR 8 Women's - 2017</v>
      </c>
      <c r="I2581" s="1">
        <f t="shared" si="81"/>
        <v>12999.91</v>
      </c>
    </row>
    <row r="2582" spans="1:9" x14ac:dyDescent="0.2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 s="1">
        <f t="shared" si="80"/>
        <v>419.78000000000003</v>
      </c>
      <c r="H2582" s="1" t="str">
        <f>_xlfn.XLOOKUP(C2582,Product!A:A,Product!B:B,"not found",0)</f>
        <v>Haro Shredder 20 - 2017</v>
      </c>
      <c r="I2582" s="1">
        <f t="shared" si="81"/>
        <v>419.78000000000003</v>
      </c>
    </row>
    <row r="2583" spans="1:9" x14ac:dyDescent="0.2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 s="1">
        <f t="shared" si="80"/>
        <v>269.79000000000002</v>
      </c>
      <c r="H2583" s="1" t="str">
        <f>_xlfn.XLOOKUP(C2583,Product!A:A,Product!B:B,"not found",0)</f>
        <v>Electra Cruiser 1 (24-Inch) - 2016</v>
      </c>
      <c r="I2583" s="1">
        <f t="shared" si="81"/>
        <v>269.79000000000002</v>
      </c>
    </row>
    <row r="2584" spans="1:9" x14ac:dyDescent="0.2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 s="1">
        <f t="shared" si="80"/>
        <v>250.89000000000001</v>
      </c>
      <c r="H2584" s="1" t="str">
        <f>_xlfn.XLOOKUP(C2584,Product!A:A,Product!B:B,"not found",0)</f>
        <v>Sun Bicycles Revolutions 24 - Girl's - 2017</v>
      </c>
      <c r="I2584" s="1">
        <f t="shared" si="81"/>
        <v>250.89000000000001</v>
      </c>
    </row>
    <row r="2585" spans="1:9" x14ac:dyDescent="0.2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 s="1">
        <f t="shared" si="80"/>
        <v>6999.9299999999994</v>
      </c>
      <c r="H2585" s="1" t="str">
        <f>_xlfn.XLOOKUP(C2585,Product!A:A,Product!B:B,"not found",0)</f>
        <v>Trek Boone 7 - 2017</v>
      </c>
      <c r="I2585" s="1">
        <f t="shared" si="81"/>
        <v>6999.9299999999994</v>
      </c>
    </row>
    <row r="2586" spans="1:9" x14ac:dyDescent="0.2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 s="1">
        <f t="shared" si="80"/>
        <v>4599.78</v>
      </c>
      <c r="H2586" s="1" t="str">
        <f>_xlfn.XLOOKUP(C2586,Product!A:A,Product!B:B,"not found",0)</f>
        <v>Trek Fuel EX 5 27.5 Plus - 2017</v>
      </c>
      <c r="I2586" s="1">
        <f t="shared" si="81"/>
        <v>4599.78</v>
      </c>
    </row>
    <row r="2587" spans="1:9" x14ac:dyDescent="0.2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 s="1">
        <f t="shared" si="80"/>
        <v>599.79</v>
      </c>
      <c r="H2587" s="1" t="str">
        <f>_xlfn.XLOOKUP(C2587,Product!A:A,Product!B:B,"not found",0)</f>
        <v>Electra Townie Original 7D EQ - Women's - 2016</v>
      </c>
      <c r="I2587" s="1">
        <f t="shared" si="81"/>
        <v>599.79</v>
      </c>
    </row>
    <row r="2588" spans="1:9" x14ac:dyDescent="0.2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 s="1">
        <f t="shared" si="80"/>
        <v>599.78</v>
      </c>
      <c r="H2588" s="1" t="str">
        <f>_xlfn.XLOOKUP(C2588,Product!A:A,Product!B:B,"not found",0)</f>
        <v>Electra Girl's Hawaii 1 (20-inch) - 2015/2016</v>
      </c>
      <c r="I2588" s="1">
        <f t="shared" si="81"/>
        <v>599.78</v>
      </c>
    </row>
    <row r="2589" spans="1:9" x14ac:dyDescent="0.2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 s="1">
        <f t="shared" si="80"/>
        <v>4999.91</v>
      </c>
      <c r="H2589" s="1" t="str">
        <f>_xlfn.XLOOKUP(C2589,Product!A:A,Product!B:B,"not found",0)</f>
        <v>Surly Karate Monkey 27.5+ Frameset - 2017</v>
      </c>
      <c r="I2589" s="1">
        <f t="shared" si="81"/>
        <v>4999.91</v>
      </c>
    </row>
    <row r="2590" spans="1:9" x14ac:dyDescent="0.2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 s="1">
        <f t="shared" si="80"/>
        <v>1409.94</v>
      </c>
      <c r="H2590" s="1" t="str">
        <f>_xlfn.XLOOKUP(C2590,Product!A:A,Product!B:B,"not found",0)</f>
        <v>Haro SR 1.3 - 2017</v>
      </c>
      <c r="I2590" s="1">
        <f t="shared" si="81"/>
        <v>1409.94</v>
      </c>
    </row>
    <row r="2591" spans="1:9" x14ac:dyDescent="0.2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 s="1">
        <f t="shared" si="80"/>
        <v>979.88</v>
      </c>
      <c r="H2591" s="1" t="str">
        <f>_xlfn.XLOOKUP(C2591,Product!A:A,Product!B:B,"not found",0)</f>
        <v>Electra Townie Original 7D - 2017</v>
      </c>
      <c r="I2591" s="1">
        <f t="shared" si="81"/>
        <v>979.88</v>
      </c>
    </row>
    <row r="2592" spans="1:9" x14ac:dyDescent="0.2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 s="1">
        <f t="shared" si="80"/>
        <v>539.78</v>
      </c>
      <c r="H2592" s="1" t="str">
        <f>_xlfn.XLOOKUP(C2592,Product!A:A,Product!B:B,"not found",0)</f>
        <v>Electra Girl's Hawaii 1 (16-inch) - 2015/2016</v>
      </c>
      <c r="I2592" s="1">
        <f t="shared" si="81"/>
        <v>539.78</v>
      </c>
    </row>
    <row r="2593" spans="1:9" x14ac:dyDescent="0.2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 s="1">
        <f t="shared" si="80"/>
        <v>219.91</v>
      </c>
      <c r="H2593" s="1" t="str">
        <f>_xlfn.XLOOKUP(C2593,Product!A:A,Product!B:B,"not found",0)</f>
        <v>Sun Bicycles Lil Kitt'n - 2017</v>
      </c>
      <c r="I2593" s="1">
        <f t="shared" si="81"/>
        <v>219.91</v>
      </c>
    </row>
    <row r="2594" spans="1:9" x14ac:dyDescent="0.2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 s="1">
        <f t="shared" si="80"/>
        <v>346.92</v>
      </c>
      <c r="H2594" s="1" t="str">
        <f>_xlfn.XLOOKUP(C2594,Product!A:A,Product!B:B,"not found",0)</f>
        <v>Sun Bicycles Lil Bolt Type-R - 2017</v>
      </c>
      <c r="I2594" s="1">
        <f t="shared" si="81"/>
        <v>346.92</v>
      </c>
    </row>
    <row r="2595" spans="1:9" x14ac:dyDescent="0.2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 s="1">
        <f t="shared" si="80"/>
        <v>1469.79</v>
      </c>
      <c r="H2595" s="1" t="str">
        <f>_xlfn.XLOOKUP(C2595,Product!A:A,Product!B:B,"not found",0)</f>
        <v>Haro Shift R3 - 2017</v>
      </c>
      <c r="I2595" s="1">
        <f t="shared" si="81"/>
        <v>1469.79</v>
      </c>
    </row>
    <row r="2596" spans="1:9" x14ac:dyDescent="0.2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 s="1">
        <f t="shared" si="80"/>
        <v>249.89000000000001</v>
      </c>
      <c r="H2596" s="1" t="str">
        <f>_xlfn.XLOOKUP(C2596,Product!A:A,Product!B:B,"not found",0)</f>
        <v>Haro Shredder Pro 20 - 2017</v>
      </c>
      <c r="I2596" s="1">
        <f t="shared" si="81"/>
        <v>249.89000000000001</v>
      </c>
    </row>
    <row r="2597" spans="1:9" x14ac:dyDescent="0.2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 s="1">
        <f t="shared" si="80"/>
        <v>979.88</v>
      </c>
      <c r="H2597" s="1" t="str">
        <f>_xlfn.XLOOKUP(C2597,Product!A:A,Product!B:B,"not found",0)</f>
        <v>Electra Townie Original 7D - 2017</v>
      </c>
      <c r="I2597" s="1">
        <f t="shared" si="81"/>
        <v>979.88</v>
      </c>
    </row>
    <row r="2598" spans="1:9" x14ac:dyDescent="0.2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 s="1">
        <f t="shared" si="80"/>
        <v>1320.79</v>
      </c>
      <c r="H2598" s="1" t="str">
        <f>_xlfn.XLOOKUP(C2598,Product!A:A,Product!B:B,"not found",0)</f>
        <v>Heller Shagamaw Frame - 2016</v>
      </c>
      <c r="I2598" s="1">
        <f t="shared" si="81"/>
        <v>1320.79</v>
      </c>
    </row>
    <row r="2599" spans="1:9" x14ac:dyDescent="0.2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 s="1">
        <f t="shared" si="80"/>
        <v>299.89</v>
      </c>
      <c r="H2599" s="1" t="str">
        <f>_xlfn.XLOOKUP(C2599,Product!A:A,Product!B:B,"not found",0)</f>
        <v>Electra Girl's Hawaii 1 (20-inch) - 2015/2016</v>
      </c>
      <c r="I2599" s="1">
        <f t="shared" si="81"/>
        <v>299.89</v>
      </c>
    </row>
    <row r="2600" spans="1:9" x14ac:dyDescent="0.2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 s="1">
        <f t="shared" si="80"/>
        <v>501.93</v>
      </c>
      <c r="H2600" s="1" t="str">
        <f>_xlfn.XLOOKUP(C2600,Product!A:A,Product!B:B,"not found",0)</f>
        <v>Sun Bicycles Revolutions 24 - 2017</v>
      </c>
      <c r="I2600" s="1">
        <f t="shared" si="81"/>
        <v>501.93</v>
      </c>
    </row>
    <row r="2601" spans="1:9" x14ac:dyDescent="0.2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 s="1">
        <f t="shared" si="80"/>
        <v>449.94</v>
      </c>
      <c r="H2601" s="1" t="str">
        <f>_xlfn.XLOOKUP(C2601,Product!A:A,Product!B:B,"not found",0)</f>
        <v>Sun Bicycles Cruz 3 - 2017</v>
      </c>
      <c r="I2601" s="1">
        <f t="shared" si="81"/>
        <v>449.94</v>
      </c>
    </row>
    <row r="2602" spans="1:9" x14ac:dyDescent="0.2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 s="1">
        <f t="shared" si="80"/>
        <v>699.93000000000006</v>
      </c>
      <c r="H2602" s="1" t="str">
        <f>_xlfn.XLOOKUP(C2602,Product!A:A,Product!B:B,"not found",0)</f>
        <v>Trek Precaliber 24 (21-Speed) - Girls - 2017</v>
      </c>
      <c r="I2602" s="1">
        <f t="shared" si="81"/>
        <v>699.93000000000006</v>
      </c>
    </row>
    <row r="2603" spans="1:9" x14ac:dyDescent="0.2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 s="1">
        <f t="shared" si="80"/>
        <v>3499.79</v>
      </c>
      <c r="H2603" s="1" t="str">
        <f>_xlfn.XLOOKUP(C2603,Product!A:A,Product!B:B,"not found",0)</f>
        <v>Trek Domane SL 6 - 2017</v>
      </c>
      <c r="I2603" s="1">
        <f t="shared" si="81"/>
        <v>3499.79</v>
      </c>
    </row>
    <row r="2604" spans="1:9" x14ac:dyDescent="0.2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 s="1">
        <f t="shared" si="80"/>
        <v>539.78</v>
      </c>
      <c r="H2604" s="1" t="str">
        <f>_xlfn.XLOOKUP(C2604,Product!A:A,Product!B:B,"not found",0)</f>
        <v>Electra Girl's Hawaii 1 (16-inch) - 2015/2016</v>
      </c>
      <c r="I2604" s="1">
        <f t="shared" si="81"/>
        <v>539.78</v>
      </c>
    </row>
    <row r="2605" spans="1:9" x14ac:dyDescent="0.2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 s="1">
        <f t="shared" si="80"/>
        <v>833.93000000000006</v>
      </c>
      <c r="H2605" s="1" t="str">
        <f>_xlfn.XLOOKUP(C2605,Product!A:A,Product!B:B,"not found",0)</f>
        <v>Sun Bicycles Atlas X-Type - 2017</v>
      </c>
      <c r="I2605" s="1">
        <f t="shared" si="81"/>
        <v>833.93000000000006</v>
      </c>
    </row>
    <row r="2606" spans="1:9" x14ac:dyDescent="0.2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 s="1">
        <f t="shared" si="80"/>
        <v>339.94</v>
      </c>
      <c r="H2606" s="1" t="str">
        <f>_xlfn.XLOOKUP(C2606,Product!A:A,Product!B:B,"not found",0)</f>
        <v>Electra Townie 7D (20-inch) - Boys' - 2017</v>
      </c>
      <c r="I2606" s="1">
        <f t="shared" si="81"/>
        <v>339.94</v>
      </c>
    </row>
    <row r="2607" spans="1:9" x14ac:dyDescent="0.2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 s="1">
        <f t="shared" si="80"/>
        <v>1499.78</v>
      </c>
      <c r="H2607" s="1" t="str">
        <f>_xlfn.XLOOKUP(C2607,Product!A:A,Product!B:B,"not found",0)</f>
        <v>Ritchey Timberwolf Frameset - 2016</v>
      </c>
      <c r="I2607" s="1">
        <f t="shared" si="81"/>
        <v>1499.78</v>
      </c>
    </row>
    <row r="2608" spans="1:9" x14ac:dyDescent="0.2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 s="1">
        <f t="shared" si="80"/>
        <v>419.88</v>
      </c>
      <c r="H2608" s="1" t="str">
        <f>_xlfn.XLOOKUP(C2608,Product!A:A,Product!B:B,"not found",0)</f>
        <v>Trek Precaliber 16 Girls - 2017</v>
      </c>
      <c r="I2608" s="1">
        <f t="shared" si="81"/>
        <v>419.88</v>
      </c>
    </row>
    <row r="2609" spans="1:9" x14ac:dyDescent="0.2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 s="1">
        <f t="shared" si="80"/>
        <v>1099.93</v>
      </c>
      <c r="H2609" s="1" t="str">
        <f>_xlfn.XLOOKUP(C2609,Product!A:A,Product!B:B,"not found",0)</f>
        <v>Electra Townie Original 21D - 2016</v>
      </c>
      <c r="I2609" s="1">
        <f t="shared" si="81"/>
        <v>1099.93</v>
      </c>
    </row>
    <row r="2610" spans="1:9" x14ac:dyDescent="0.2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 s="1">
        <f t="shared" si="80"/>
        <v>549.91999999999996</v>
      </c>
      <c r="H2610" s="1" t="str">
        <f>_xlfn.XLOOKUP(C2610,Product!A:A,Product!B:B,"not found",0)</f>
        <v>Haro Flightline Two 26 Plus - 2017</v>
      </c>
      <c r="I2610" s="1">
        <f t="shared" si="81"/>
        <v>549.91999999999996</v>
      </c>
    </row>
    <row r="2611" spans="1:9" x14ac:dyDescent="0.2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 s="1">
        <f t="shared" si="80"/>
        <v>1199.78</v>
      </c>
      <c r="H2611" s="1" t="str">
        <f>_xlfn.XLOOKUP(C2611,Product!A:A,Product!B:B,"not found",0)</f>
        <v>Electra Townie Original 7D EQ - Women's - 2016</v>
      </c>
      <c r="I2611" s="1">
        <f t="shared" si="81"/>
        <v>1199.78</v>
      </c>
    </row>
    <row r="2612" spans="1:9" x14ac:dyDescent="0.2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 s="1">
        <f t="shared" si="80"/>
        <v>449.94</v>
      </c>
      <c r="H2612" s="1" t="str">
        <f>_xlfn.XLOOKUP(C2612,Product!A:A,Product!B:B,"not found",0)</f>
        <v>Sun Bicycles Cruz 3 - 2017</v>
      </c>
      <c r="I2612" s="1">
        <f t="shared" si="81"/>
        <v>449.94</v>
      </c>
    </row>
    <row r="2613" spans="1:9" x14ac:dyDescent="0.2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 s="1">
        <f t="shared" si="80"/>
        <v>1409.89</v>
      </c>
      <c r="H2613" s="1" t="str">
        <f>_xlfn.XLOOKUP(C2613,Product!A:A,Product!B:B,"not found",0)</f>
        <v>Haro SR 1.3 - 2017</v>
      </c>
      <c r="I2613" s="1">
        <f t="shared" si="81"/>
        <v>1409.89</v>
      </c>
    </row>
    <row r="2614" spans="1:9" x14ac:dyDescent="0.2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 s="1">
        <f t="shared" si="80"/>
        <v>489.94</v>
      </c>
      <c r="H2614" s="1" t="str">
        <f>_xlfn.XLOOKUP(C2614,Product!A:A,Product!B:B,"not found",0)</f>
        <v>Electra Townie Original 7D - 2017</v>
      </c>
      <c r="I2614" s="1">
        <f t="shared" si="81"/>
        <v>489.94</v>
      </c>
    </row>
    <row r="2615" spans="1:9" x14ac:dyDescent="0.2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 s="1">
        <f t="shared" si="80"/>
        <v>1499.92</v>
      </c>
      <c r="H2615" s="1" t="str">
        <f>_xlfn.XLOOKUP(C2615,Product!A:A,Product!B:B,"not found",0)</f>
        <v>Trek Emonda S 4 - 2017</v>
      </c>
      <c r="I2615" s="1">
        <f t="shared" si="81"/>
        <v>1499.92</v>
      </c>
    </row>
    <row r="2616" spans="1:9" x14ac:dyDescent="0.2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 s="1">
        <f t="shared" si="80"/>
        <v>2299.79</v>
      </c>
      <c r="H2616" s="1" t="str">
        <f>_xlfn.XLOOKUP(C2616,Product!A:A,Product!B:B,"not found",0)</f>
        <v>Trek Fuel EX 5 27.5 Plus - 2017</v>
      </c>
      <c r="I2616" s="1">
        <f t="shared" si="81"/>
        <v>2299.79</v>
      </c>
    </row>
    <row r="2617" spans="1:9" x14ac:dyDescent="0.2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 s="1">
        <f t="shared" si="80"/>
        <v>749.92</v>
      </c>
      <c r="H2617" s="1" t="str">
        <f>_xlfn.XLOOKUP(C2617,Product!A:A,Product!B:B,"not found",0)</f>
        <v>Ritchey Timberwolf Frameset - 2016</v>
      </c>
      <c r="I2617" s="1">
        <f t="shared" si="81"/>
        <v>749.92</v>
      </c>
    </row>
    <row r="2618" spans="1:9" x14ac:dyDescent="0.2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 s="1">
        <f t="shared" si="80"/>
        <v>209.79000000000002</v>
      </c>
      <c r="H2618" s="1" t="str">
        <f>_xlfn.XLOOKUP(C2618,Product!A:A,Product!B:B,"not found",0)</f>
        <v>Haro Shredder 20 - 2017</v>
      </c>
      <c r="I2618" s="1">
        <f t="shared" si="81"/>
        <v>209.79000000000002</v>
      </c>
    </row>
    <row r="2619" spans="1:9" x14ac:dyDescent="0.2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 s="1">
        <f t="shared" si="80"/>
        <v>1469.92</v>
      </c>
      <c r="H2619" s="1" t="str">
        <f>_xlfn.XLOOKUP(C2619,Product!A:A,Product!B:B,"not found",0)</f>
        <v>Haro Shift R3 - 2017</v>
      </c>
      <c r="I2619" s="1">
        <f t="shared" si="81"/>
        <v>1469.92</v>
      </c>
    </row>
    <row r="2620" spans="1:9" x14ac:dyDescent="0.2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 s="1">
        <f t="shared" si="80"/>
        <v>349.79</v>
      </c>
      <c r="H2620" s="1" t="str">
        <f>_xlfn.XLOOKUP(C2620,Product!A:A,Product!B:B,"not found",0)</f>
        <v>Trek Precaliber 24 (21-Speed) - Girls - 2017</v>
      </c>
      <c r="I2620" s="1">
        <f t="shared" si="81"/>
        <v>349.79</v>
      </c>
    </row>
    <row r="2621" spans="1:9" x14ac:dyDescent="0.2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 s="1">
        <f t="shared" si="80"/>
        <v>1632.89</v>
      </c>
      <c r="H2621" s="1" t="str">
        <f>_xlfn.XLOOKUP(C2621,Product!A:A,Product!B:B,"not found",0)</f>
        <v>Surly Wednesday - 2017</v>
      </c>
      <c r="I2621" s="1">
        <f t="shared" si="81"/>
        <v>1632.89</v>
      </c>
    </row>
    <row r="2622" spans="1:9" x14ac:dyDescent="0.2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 s="1">
        <f t="shared" si="80"/>
        <v>5799.91</v>
      </c>
      <c r="H2622" s="1" t="str">
        <f>_xlfn.XLOOKUP(C2622,Product!A:A,Product!B:B,"not found",0)</f>
        <v>Trek Fuel EX 8 29 - 2016</v>
      </c>
      <c r="I2622" s="1">
        <f t="shared" si="81"/>
        <v>5799.91</v>
      </c>
    </row>
    <row r="2623" spans="1:9" x14ac:dyDescent="0.2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 s="1">
        <f t="shared" si="80"/>
        <v>3999.9199999999996</v>
      </c>
      <c r="H2623" s="1" t="str">
        <f>_xlfn.XLOOKUP(C2623,Product!A:A,Product!B:B,"not found",0)</f>
        <v>Trek Slash 8 27.5 - 2016</v>
      </c>
      <c r="I2623" s="1">
        <f t="shared" si="81"/>
        <v>3999.9199999999996</v>
      </c>
    </row>
    <row r="2624" spans="1:9" x14ac:dyDescent="0.2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 s="1">
        <f t="shared" si="80"/>
        <v>539.89</v>
      </c>
      <c r="H2624" s="1" t="str">
        <f>_xlfn.XLOOKUP(C2624,Product!A:A,Product!B:B,"not found",0)</f>
        <v>Haro SR 1.1 - 2017</v>
      </c>
      <c r="I2624" s="1">
        <f t="shared" si="81"/>
        <v>539.89</v>
      </c>
    </row>
    <row r="2625" spans="1:9" x14ac:dyDescent="0.2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 s="1">
        <f t="shared" si="80"/>
        <v>299.94</v>
      </c>
      <c r="H2625" s="1" t="str">
        <f>_xlfn.XLOOKUP(C2625,Product!A:A,Product!B:B,"not found",0)</f>
        <v>Electra Girl's Hawaii 1 16" - 2017</v>
      </c>
      <c r="I2625" s="1">
        <f t="shared" si="81"/>
        <v>299.94</v>
      </c>
    </row>
    <row r="2626" spans="1:9" x14ac:dyDescent="0.2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 s="1">
        <f t="shared" si="80"/>
        <v>2999.91</v>
      </c>
      <c r="H2626" s="1" t="str">
        <f>_xlfn.XLOOKUP(C2626,Product!A:A,Product!B:B,"not found",0)</f>
        <v>Trek Stache 5 - 2017</v>
      </c>
      <c r="I2626" s="1">
        <f t="shared" si="81"/>
        <v>2999.91</v>
      </c>
    </row>
    <row r="2627" spans="1:9" x14ac:dyDescent="0.2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 s="1">
        <f t="shared" ref="G2627:G2690" si="82">(E2627*D2627)-F2627</f>
        <v>647.94000000000005</v>
      </c>
      <c r="H2627" s="1" t="str">
        <f>_xlfn.XLOOKUP(C2627,Product!A:A,Product!B:B,"not found",0)</f>
        <v>Sun Bicycles Biscayne Tandem CB - 2017</v>
      </c>
      <c r="I2627" s="1">
        <f t="shared" ref="I2627:I2690" si="83">(D2627*E2627)-F2627</f>
        <v>647.94000000000005</v>
      </c>
    </row>
    <row r="2628" spans="1:9" x14ac:dyDescent="0.2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 s="1">
        <f t="shared" si="82"/>
        <v>1523.91</v>
      </c>
      <c r="H2628" s="1" t="str">
        <f>_xlfn.XLOOKUP(C2628,Product!A:A,Product!B:B,"not found",0)</f>
        <v>Sun Bicycles Brickell Tandem CB - 2017</v>
      </c>
      <c r="I2628" s="1">
        <f t="shared" si="83"/>
        <v>1523.91</v>
      </c>
    </row>
    <row r="2629" spans="1:9" x14ac:dyDescent="0.2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 s="1">
        <f t="shared" si="82"/>
        <v>799.79</v>
      </c>
      <c r="H2629" s="1" t="str">
        <f>_xlfn.XLOOKUP(C2629,Product!A:A,Product!B:B,"not found",0)</f>
        <v>Electra Glam Punk 3i Ladies' - 2017</v>
      </c>
      <c r="I2629" s="1">
        <f t="shared" si="83"/>
        <v>799.79</v>
      </c>
    </row>
    <row r="2630" spans="1:9" x14ac:dyDescent="0.2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 s="1">
        <f t="shared" si="82"/>
        <v>1199.9100000000001</v>
      </c>
      <c r="H2630" s="1" t="str">
        <f>_xlfn.XLOOKUP(C2630,Product!A:A,Product!B:B,"not found",0)</f>
        <v>Electra Cruiser Lux Fat Tire 1 Ladies - 2017</v>
      </c>
      <c r="I2630" s="1">
        <f t="shared" si="83"/>
        <v>1199.9100000000001</v>
      </c>
    </row>
    <row r="2631" spans="1:9" x14ac:dyDescent="0.2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 s="1">
        <f t="shared" si="82"/>
        <v>1499.89</v>
      </c>
      <c r="H2631" s="1" t="str">
        <f>_xlfn.XLOOKUP(C2631,Product!A:A,Product!B:B,"not found",0)</f>
        <v>Trek Emonda S 4 - 2017</v>
      </c>
      <c r="I2631" s="1">
        <f t="shared" si="83"/>
        <v>1499.89</v>
      </c>
    </row>
    <row r="2632" spans="1:9" x14ac:dyDescent="0.2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 s="1">
        <f t="shared" si="82"/>
        <v>449.79</v>
      </c>
      <c r="H2632" s="1" t="str">
        <f>_xlfn.XLOOKUP(C2632,Product!A:A,Product!B:B,"not found",0)</f>
        <v>Sun Bicycles Cruz 3 - 2017</v>
      </c>
      <c r="I2632" s="1">
        <f t="shared" si="83"/>
        <v>449.79</v>
      </c>
    </row>
    <row r="2633" spans="1:9" x14ac:dyDescent="0.2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 s="1">
        <f t="shared" si="82"/>
        <v>749.79</v>
      </c>
      <c r="H2633" s="1" t="str">
        <f>_xlfn.XLOOKUP(C2633,Product!A:A,Product!B:B,"not found",0)</f>
        <v>Sun Bicycles Brickell Tandem 7 - 2017</v>
      </c>
      <c r="I2633" s="1">
        <f t="shared" si="83"/>
        <v>749.79</v>
      </c>
    </row>
    <row r="2634" spans="1:9" x14ac:dyDescent="0.2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 s="1">
        <f t="shared" si="82"/>
        <v>149.89000000000001</v>
      </c>
      <c r="H2634" s="1" t="str">
        <f>_xlfn.XLOOKUP(C2634,Product!A:A,Product!B:B,"not found",0)</f>
        <v>Trek Girl's Kickster - 2017</v>
      </c>
      <c r="I2634" s="1">
        <f t="shared" si="83"/>
        <v>149.89000000000001</v>
      </c>
    </row>
    <row r="2635" spans="1:9" x14ac:dyDescent="0.2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 s="1">
        <f t="shared" si="82"/>
        <v>879.93000000000006</v>
      </c>
      <c r="H2635" s="1" t="str">
        <f>_xlfn.XLOOKUP(C2635,Product!A:A,Product!B:B,"not found",0)</f>
        <v>Electra Cruiser Lux 1 - 2017</v>
      </c>
      <c r="I2635" s="1">
        <f t="shared" si="83"/>
        <v>879.93000000000006</v>
      </c>
    </row>
    <row r="2636" spans="1:9" x14ac:dyDescent="0.2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 s="1">
        <f t="shared" si="82"/>
        <v>469.89</v>
      </c>
      <c r="H2636" s="1" t="str">
        <f>_xlfn.XLOOKUP(C2636,Product!A:A,Product!B:B,"not found",0)</f>
        <v>Surly Ice Cream Truck Frameset - 2016</v>
      </c>
      <c r="I2636" s="1">
        <f t="shared" si="83"/>
        <v>469.89</v>
      </c>
    </row>
    <row r="2637" spans="1:9" x14ac:dyDescent="0.2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 s="1">
        <f t="shared" si="82"/>
        <v>699.78</v>
      </c>
      <c r="H2637" s="1" t="str">
        <f>_xlfn.XLOOKUP(C2637,Product!A:A,Product!B:B,"not found",0)</f>
        <v>Electra Savannah 3i (20-inch) - Girl's - 2017</v>
      </c>
      <c r="I2637" s="1">
        <f t="shared" si="83"/>
        <v>699.78</v>
      </c>
    </row>
    <row r="2638" spans="1:9" x14ac:dyDescent="0.2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 s="1">
        <f t="shared" si="82"/>
        <v>832.79</v>
      </c>
      <c r="H2638" s="1" t="str">
        <f>_xlfn.XLOOKUP(C2638,Product!A:A,Product!B:B,"not found",0)</f>
        <v>Surly Troll Frameset - 2017</v>
      </c>
      <c r="I2638" s="1">
        <f t="shared" si="83"/>
        <v>832.79</v>
      </c>
    </row>
    <row r="2639" spans="1:9" x14ac:dyDescent="0.2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 s="1">
        <f t="shared" si="82"/>
        <v>349.92</v>
      </c>
      <c r="H2639" s="1" t="str">
        <f>_xlfn.XLOOKUP(C2639,Product!A:A,Product!B:B,"not found",0)</f>
        <v>Electra Savannah 3i (20-inch) - Girl's - 2017</v>
      </c>
      <c r="I2639" s="1">
        <f t="shared" si="83"/>
        <v>349.92</v>
      </c>
    </row>
    <row r="2640" spans="1:9" x14ac:dyDescent="0.2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 s="1">
        <f t="shared" si="82"/>
        <v>6999.78</v>
      </c>
      <c r="H2640" s="1" t="str">
        <f>_xlfn.XLOOKUP(C2640,Product!A:A,Product!B:B,"not found",0)</f>
        <v>Trek Boone 7 - 2017</v>
      </c>
      <c r="I2640" s="1">
        <f t="shared" si="83"/>
        <v>6999.78</v>
      </c>
    </row>
    <row r="2641" spans="1:9" x14ac:dyDescent="0.2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 s="1">
        <f t="shared" si="82"/>
        <v>759.78</v>
      </c>
      <c r="H2641" s="1" t="str">
        <f>_xlfn.XLOOKUP(C2641,Product!A:A,Product!B:B,"not found",0)</f>
        <v>Haro Flightline One ST - 2017</v>
      </c>
      <c r="I2641" s="1">
        <f t="shared" si="83"/>
        <v>759.78</v>
      </c>
    </row>
    <row r="2642" spans="1:9" x14ac:dyDescent="0.2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 s="1">
        <f t="shared" si="82"/>
        <v>879.88</v>
      </c>
      <c r="H2642" s="1" t="str">
        <f>_xlfn.XLOOKUP(C2642,Product!A:A,Product!B:B,"not found",0)</f>
        <v>Electra Cruiser Lux 1 - 2017</v>
      </c>
      <c r="I2642" s="1">
        <f t="shared" si="83"/>
        <v>879.88</v>
      </c>
    </row>
    <row r="2643" spans="1:9" x14ac:dyDescent="0.2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 s="1">
        <f t="shared" si="82"/>
        <v>1199.78</v>
      </c>
      <c r="H2643" s="1" t="str">
        <f>_xlfn.XLOOKUP(C2643,Product!A:A,Product!B:B,"not found",0)</f>
        <v>Electra Townie Original 7D EQ - 2016</v>
      </c>
      <c r="I2643" s="1">
        <f t="shared" si="83"/>
        <v>1199.78</v>
      </c>
    </row>
    <row r="2644" spans="1:9" x14ac:dyDescent="0.2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 s="1">
        <f t="shared" si="82"/>
        <v>5999.8899999999994</v>
      </c>
      <c r="H2644" s="1" t="str">
        <f>_xlfn.XLOOKUP(C2644,Product!A:A,Product!B:B,"not found",0)</f>
        <v>Trek Silque SLR 7 Women's - 2017</v>
      </c>
      <c r="I2644" s="1">
        <f t="shared" si="83"/>
        <v>5999.8899999999994</v>
      </c>
    </row>
    <row r="2645" spans="1:9" x14ac:dyDescent="0.2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 s="1">
        <f t="shared" si="82"/>
        <v>999.89</v>
      </c>
      <c r="H2645" s="1" t="str">
        <f>_xlfn.XLOOKUP(C2645,Product!A:A,Product!B:B,"not found",0)</f>
        <v>Surly Wednesday Frameset - 2016</v>
      </c>
      <c r="I2645" s="1">
        <f t="shared" si="83"/>
        <v>999.89</v>
      </c>
    </row>
    <row r="2646" spans="1:9" x14ac:dyDescent="0.2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 s="1">
        <f t="shared" si="82"/>
        <v>5299.92</v>
      </c>
      <c r="H2646" s="1" t="str">
        <f>_xlfn.XLOOKUP(C2646,Product!A:A,Product!B:B,"not found",0)</f>
        <v>Trek Fuel EX 9.8 27.5 Plus - 2017</v>
      </c>
      <c r="I2646" s="1">
        <f t="shared" si="83"/>
        <v>5299.92</v>
      </c>
    </row>
    <row r="2647" spans="1:9" x14ac:dyDescent="0.2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 s="1">
        <f t="shared" si="82"/>
        <v>833.93000000000006</v>
      </c>
      <c r="H2647" s="1" t="str">
        <f>_xlfn.XLOOKUP(C2647,Product!A:A,Product!B:B,"not found",0)</f>
        <v>Sun Bicycles Atlas X-Type - 2017</v>
      </c>
      <c r="I2647" s="1">
        <f t="shared" si="83"/>
        <v>833.93000000000006</v>
      </c>
    </row>
    <row r="2648" spans="1:9" x14ac:dyDescent="0.2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 s="1">
        <f t="shared" si="82"/>
        <v>149.79000000000002</v>
      </c>
      <c r="H2648" s="1" t="str">
        <f>_xlfn.XLOOKUP(C2648,Product!A:A,Product!B:B,"not found",0)</f>
        <v>Trek Boy's Kickster - 2015/2017</v>
      </c>
      <c r="I2648" s="1">
        <f t="shared" si="83"/>
        <v>149.79000000000002</v>
      </c>
    </row>
    <row r="2649" spans="1:9" x14ac:dyDescent="0.2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 s="1">
        <f t="shared" si="82"/>
        <v>659.79</v>
      </c>
      <c r="H2649" s="1" t="str">
        <f>_xlfn.XLOOKUP(C2649,Product!A:A,Product!B:B,"not found",0)</f>
        <v>Electra Amsterdam Original 3i Ladies' - 2017</v>
      </c>
      <c r="I2649" s="1">
        <f t="shared" si="83"/>
        <v>659.79</v>
      </c>
    </row>
    <row r="2650" spans="1:9" x14ac:dyDescent="0.2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 s="1">
        <f t="shared" si="82"/>
        <v>6999.8799999999992</v>
      </c>
      <c r="H2650" s="1" t="str">
        <f>_xlfn.XLOOKUP(C2650,Product!A:A,Product!B:B,"not found",0)</f>
        <v>Trek Boone Race Shop Limited - 2017</v>
      </c>
      <c r="I2650" s="1">
        <f t="shared" si="83"/>
        <v>6999.8799999999992</v>
      </c>
    </row>
    <row r="2651" spans="1:9" x14ac:dyDescent="0.2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 s="1">
        <f t="shared" si="82"/>
        <v>549.94000000000005</v>
      </c>
      <c r="H2651" s="1" t="str">
        <f>_xlfn.XLOOKUP(C2651,Product!A:A,Product!B:B,"not found",0)</f>
        <v>Electra Townie Original 21D - 2016</v>
      </c>
      <c r="I2651" s="1">
        <f t="shared" si="83"/>
        <v>549.94000000000005</v>
      </c>
    </row>
    <row r="2652" spans="1:9" x14ac:dyDescent="0.2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 s="1">
        <f t="shared" si="82"/>
        <v>10999.91</v>
      </c>
      <c r="H2652" s="1" t="str">
        <f>_xlfn.XLOOKUP(C2652,Product!A:A,Product!B:B,"not found",0)</f>
        <v>Trek Domane SLR 6 Disc - 2017</v>
      </c>
      <c r="I2652" s="1">
        <f t="shared" si="83"/>
        <v>10999.91</v>
      </c>
    </row>
    <row r="2653" spans="1:9" x14ac:dyDescent="0.2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 s="1">
        <f t="shared" si="82"/>
        <v>659.92</v>
      </c>
      <c r="H2653" s="1" t="str">
        <f>_xlfn.XLOOKUP(C2653,Product!A:A,Product!B:B,"not found",0)</f>
        <v>Electra Amsterdam Original 3i Ladies' - 2017</v>
      </c>
      <c r="I2653" s="1">
        <f t="shared" si="83"/>
        <v>659.92</v>
      </c>
    </row>
    <row r="2654" spans="1:9" x14ac:dyDescent="0.2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 s="1">
        <f t="shared" si="82"/>
        <v>1559.89</v>
      </c>
      <c r="H2654" s="1" t="str">
        <f>_xlfn.XLOOKUP(C2654,Product!A:A,Product!B:B,"not found",0)</f>
        <v>Sun Bicycles ElectroLite - 2017</v>
      </c>
      <c r="I2654" s="1">
        <f t="shared" si="83"/>
        <v>1559.89</v>
      </c>
    </row>
    <row r="2655" spans="1:9" x14ac:dyDescent="0.2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 s="1">
        <f t="shared" si="82"/>
        <v>693.93000000000006</v>
      </c>
      <c r="H2655" s="1" t="str">
        <f>_xlfn.XLOOKUP(C2655,Product!A:A,Product!B:B,"not found",0)</f>
        <v>Sun Bicycles Lil Bolt Type-R - 2017</v>
      </c>
      <c r="I2655" s="1">
        <f t="shared" si="83"/>
        <v>693.93000000000006</v>
      </c>
    </row>
    <row r="2656" spans="1:9" x14ac:dyDescent="0.2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 s="1">
        <f t="shared" si="82"/>
        <v>12999.88</v>
      </c>
      <c r="H2656" s="1" t="str">
        <f>_xlfn.XLOOKUP(C2656,Product!A:A,Product!B:B,"not found",0)</f>
        <v>Trek Silque SLR 8 Women's - 2017</v>
      </c>
      <c r="I2656" s="1">
        <f t="shared" si="83"/>
        <v>12999.88</v>
      </c>
    </row>
    <row r="2657" spans="1:9" x14ac:dyDescent="0.2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 s="1">
        <f t="shared" si="82"/>
        <v>6999.91</v>
      </c>
      <c r="H2657" s="1" t="str">
        <f>_xlfn.XLOOKUP(C2657,Product!A:A,Product!B:B,"not found",0)</f>
        <v>Trek Domane SL 6 - 2017</v>
      </c>
      <c r="I2657" s="1">
        <f t="shared" si="83"/>
        <v>6999.91</v>
      </c>
    </row>
    <row r="2658" spans="1:9" x14ac:dyDescent="0.2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 s="1">
        <f t="shared" si="82"/>
        <v>299.79000000000002</v>
      </c>
      <c r="H2658" s="1" t="str">
        <f>_xlfn.XLOOKUP(C2658,Product!A:A,Product!B:B,"not found",0)</f>
        <v>Electra Girl's Hawaii 1 16" - 2017</v>
      </c>
      <c r="I2658" s="1">
        <f t="shared" si="83"/>
        <v>299.79000000000002</v>
      </c>
    </row>
    <row r="2659" spans="1:9" x14ac:dyDescent="0.2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 s="1">
        <f t="shared" si="82"/>
        <v>439.94</v>
      </c>
      <c r="H2659" s="1" t="str">
        <f>_xlfn.XLOOKUP(C2659,Product!A:A,Product!B:B,"not found",0)</f>
        <v>Electra Cruiser Lux 1 - 2017</v>
      </c>
      <c r="I2659" s="1">
        <f t="shared" si="83"/>
        <v>439.94</v>
      </c>
    </row>
    <row r="2660" spans="1:9" x14ac:dyDescent="0.2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 s="1">
        <f t="shared" si="82"/>
        <v>799.92</v>
      </c>
      <c r="H2660" s="1" t="str">
        <f>_xlfn.XLOOKUP(C2660,Product!A:A,Product!B:B,"not found",0)</f>
        <v>Electra Glam Punk 3i Ladies' - 2017</v>
      </c>
      <c r="I2660" s="1">
        <f t="shared" si="83"/>
        <v>799.92</v>
      </c>
    </row>
    <row r="2661" spans="1:9" x14ac:dyDescent="0.2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 s="1">
        <f t="shared" si="82"/>
        <v>269.79000000000002</v>
      </c>
      <c r="H2661" s="1" t="str">
        <f>_xlfn.XLOOKUP(C2661,Product!A:A,Product!B:B,"not found",0)</f>
        <v>Electra Cruiser 1 (24-Inch) - 2016</v>
      </c>
      <c r="I2661" s="1">
        <f t="shared" si="83"/>
        <v>269.79000000000002</v>
      </c>
    </row>
    <row r="2662" spans="1:9" x14ac:dyDescent="0.2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 s="1">
        <f t="shared" si="82"/>
        <v>1199.93</v>
      </c>
      <c r="H2662" s="1" t="str">
        <f>_xlfn.XLOOKUP(C2662,Product!A:A,Product!B:B,"not found",0)</f>
        <v>Electra Cruiser Lux Fat Tire 1 Ladies - 2017</v>
      </c>
      <c r="I2662" s="1">
        <f t="shared" si="83"/>
        <v>1199.93</v>
      </c>
    </row>
    <row r="2663" spans="1:9" x14ac:dyDescent="0.2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 s="1">
        <f t="shared" si="82"/>
        <v>1665.93</v>
      </c>
      <c r="H2663" s="1" t="str">
        <f>_xlfn.XLOOKUP(C2663,Product!A:A,Product!B:B,"not found",0)</f>
        <v>Sun Bicycles Spider 3i - 2017</v>
      </c>
      <c r="I2663" s="1">
        <f t="shared" si="83"/>
        <v>1665.93</v>
      </c>
    </row>
    <row r="2664" spans="1:9" x14ac:dyDescent="0.2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 s="1">
        <f t="shared" si="82"/>
        <v>1499.94</v>
      </c>
      <c r="H2664" s="1" t="str">
        <f>_xlfn.XLOOKUP(C2664,Product!A:A,Product!B:B,"not found",0)</f>
        <v>Trek Emonda S 4 - 2017</v>
      </c>
      <c r="I2664" s="1">
        <f t="shared" si="83"/>
        <v>1499.94</v>
      </c>
    </row>
    <row r="2665" spans="1:9" x14ac:dyDescent="0.2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 s="1">
        <f t="shared" si="82"/>
        <v>448.9</v>
      </c>
      <c r="H2665" s="1" t="str">
        <f>_xlfn.XLOOKUP(C2665,Product!A:A,Product!B:B,"not found",0)</f>
        <v>Pure Cycles Western 3-Speed - Women's - 2015/2016</v>
      </c>
      <c r="I2665" s="1">
        <f t="shared" si="83"/>
        <v>448.9</v>
      </c>
    </row>
    <row r="2666" spans="1:9" x14ac:dyDescent="0.2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 s="1">
        <f t="shared" si="82"/>
        <v>4999.92</v>
      </c>
      <c r="H2666" s="1" t="str">
        <f>_xlfn.XLOOKUP(C2666,Product!A:A,Product!B:B,"not found",0)</f>
        <v>Trek Powerfly 8 FS Plus - 2017</v>
      </c>
      <c r="I2666" s="1">
        <f t="shared" si="83"/>
        <v>4999.92</v>
      </c>
    </row>
    <row r="2667" spans="1:9" x14ac:dyDescent="0.2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 s="1">
        <f t="shared" si="82"/>
        <v>10999.779999999999</v>
      </c>
      <c r="H2667" s="1" t="str">
        <f>_xlfn.XLOOKUP(C2667,Product!A:A,Product!B:B,"not found",0)</f>
        <v>Trek Domane SLR 6 Disc - 2017</v>
      </c>
      <c r="I2667" s="1">
        <f t="shared" si="83"/>
        <v>10999.779999999999</v>
      </c>
    </row>
    <row r="2668" spans="1:9" x14ac:dyDescent="0.2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 s="1">
        <f t="shared" si="82"/>
        <v>693.78</v>
      </c>
      <c r="H2668" s="1" t="str">
        <f>_xlfn.XLOOKUP(C2668,Product!A:A,Product!B:B,"not found",0)</f>
        <v>Sun Bicycles Lil Bolt Type-R - 2017</v>
      </c>
      <c r="I2668" s="1">
        <f t="shared" si="83"/>
        <v>693.78</v>
      </c>
    </row>
    <row r="2669" spans="1:9" x14ac:dyDescent="0.2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 s="1">
        <f t="shared" si="82"/>
        <v>599.91</v>
      </c>
      <c r="H2669" s="1" t="str">
        <f>_xlfn.XLOOKUP(C2669,Product!A:A,Product!B:B,"not found",0)</f>
        <v>Electra Girl's Hawaii 1 16" - 2017</v>
      </c>
      <c r="I2669" s="1">
        <f t="shared" si="83"/>
        <v>599.91</v>
      </c>
    </row>
    <row r="2670" spans="1:9" x14ac:dyDescent="0.2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 s="1">
        <f t="shared" si="82"/>
        <v>469.92</v>
      </c>
      <c r="H2670" s="1" t="str">
        <f>_xlfn.XLOOKUP(C2670,Product!A:A,Product!B:B,"not found",0)</f>
        <v>Surly Ice Cream Truck Frameset - 2016</v>
      </c>
      <c r="I2670" s="1">
        <f t="shared" si="83"/>
        <v>469.92</v>
      </c>
    </row>
    <row r="2671" spans="1:9" x14ac:dyDescent="0.2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 s="1">
        <f t="shared" si="82"/>
        <v>549.91999999999996</v>
      </c>
      <c r="H2671" s="1" t="str">
        <f>_xlfn.XLOOKUP(C2671,Product!A:A,Product!B:B,"not found",0)</f>
        <v>Haro Flightline Two 26 Plus - 2017</v>
      </c>
      <c r="I2671" s="1">
        <f t="shared" si="83"/>
        <v>549.91999999999996</v>
      </c>
    </row>
    <row r="2672" spans="1:9" x14ac:dyDescent="0.2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 s="1">
        <f t="shared" si="82"/>
        <v>659.89</v>
      </c>
      <c r="H2672" s="1" t="str">
        <f>_xlfn.XLOOKUP(C2672,Product!A:A,Product!B:B,"not found",0)</f>
        <v>Electra Amsterdam Original 3i - 2015/2017</v>
      </c>
      <c r="I2672" s="1">
        <f t="shared" si="83"/>
        <v>659.89</v>
      </c>
    </row>
    <row r="2673" spans="1:9" x14ac:dyDescent="0.2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 s="1">
        <f t="shared" si="82"/>
        <v>539.91999999999996</v>
      </c>
      <c r="H2673" s="1" t="str">
        <f>_xlfn.XLOOKUP(C2673,Product!A:A,Product!B:B,"not found",0)</f>
        <v>Haro SR 1.1 - 2017</v>
      </c>
      <c r="I2673" s="1">
        <f t="shared" si="83"/>
        <v>539.91999999999996</v>
      </c>
    </row>
    <row r="2674" spans="1:9" x14ac:dyDescent="0.2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 s="1">
        <f t="shared" si="82"/>
        <v>899.88</v>
      </c>
      <c r="H2674" s="1" t="str">
        <f>_xlfn.XLOOKUP(C2674,Product!A:A,Product!B:B,"not found",0)</f>
        <v>Sun Bicycles Cruz 3 - Women's - 2017</v>
      </c>
      <c r="I2674" s="1">
        <f t="shared" si="83"/>
        <v>899.88</v>
      </c>
    </row>
    <row r="2675" spans="1:9" x14ac:dyDescent="0.2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 s="1">
        <f t="shared" si="82"/>
        <v>12999.91</v>
      </c>
      <c r="H2675" s="1" t="str">
        <f>_xlfn.XLOOKUP(C2675,Product!A:A,Product!B:B,"not found",0)</f>
        <v>Trek Silque SLR 8 Women's - 2017</v>
      </c>
      <c r="I2675" s="1">
        <f t="shared" si="83"/>
        <v>12999.91</v>
      </c>
    </row>
    <row r="2676" spans="1:9" x14ac:dyDescent="0.2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 s="1">
        <f t="shared" si="82"/>
        <v>9999.91</v>
      </c>
      <c r="H2676" s="1" t="str">
        <f>_xlfn.XLOOKUP(C2676,Product!A:A,Product!B:B,"not found",0)</f>
        <v>Trek Madone 9.2 - 2017</v>
      </c>
      <c r="I2676" s="1">
        <f t="shared" si="83"/>
        <v>9999.91</v>
      </c>
    </row>
    <row r="2677" spans="1:9" x14ac:dyDescent="0.2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 s="1">
        <f t="shared" si="82"/>
        <v>4999.91</v>
      </c>
      <c r="H2677" s="1" t="str">
        <f>_xlfn.XLOOKUP(C2677,Product!A:A,Product!B:B,"not found",0)</f>
        <v>Surly Karate Monkey 27.5+ Frameset - 2017</v>
      </c>
      <c r="I2677" s="1">
        <f t="shared" si="83"/>
        <v>4999.91</v>
      </c>
    </row>
    <row r="2678" spans="1:9" x14ac:dyDescent="0.2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 s="1">
        <f t="shared" si="82"/>
        <v>250.79000000000002</v>
      </c>
      <c r="H2678" s="1" t="str">
        <f>_xlfn.XLOOKUP(C2678,Product!A:A,Product!B:B,"not found",0)</f>
        <v>Sun Bicycles Revolutions 24 - 2017</v>
      </c>
      <c r="I2678" s="1">
        <f t="shared" si="83"/>
        <v>250.79000000000002</v>
      </c>
    </row>
    <row r="2679" spans="1:9" x14ac:dyDescent="0.2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 s="1">
        <f t="shared" si="82"/>
        <v>2899.9399999999996</v>
      </c>
      <c r="H2679" s="1" t="str">
        <f>_xlfn.XLOOKUP(C2679,Product!A:A,Product!B:B,"not found",0)</f>
        <v>Trek Fuel EX 8 29 - 2016</v>
      </c>
      <c r="I2679" s="1">
        <f t="shared" si="83"/>
        <v>2899.9399999999996</v>
      </c>
    </row>
    <row r="2680" spans="1:9" x14ac:dyDescent="0.2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 s="1">
        <f t="shared" si="82"/>
        <v>269.94</v>
      </c>
      <c r="H2680" s="1" t="str">
        <f>_xlfn.XLOOKUP(C2680,Product!A:A,Product!B:B,"not found",0)</f>
        <v>Electra Cruiser 1 (24-Inch) - 2016</v>
      </c>
      <c r="I2680" s="1">
        <f t="shared" si="83"/>
        <v>269.94</v>
      </c>
    </row>
    <row r="2681" spans="1:9" x14ac:dyDescent="0.2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 s="1">
        <f t="shared" si="82"/>
        <v>1320.89</v>
      </c>
      <c r="H2681" s="1" t="str">
        <f>_xlfn.XLOOKUP(C2681,Product!A:A,Product!B:B,"not found",0)</f>
        <v>Heller Shagamaw Frame - 2016</v>
      </c>
      <c r="I2681" s="1">
        <f t="shared" si="83"/>
        <v>1320.89</v>
      </c>
    </row>
    <row r="2682" spans="1:9" x14ac:dyDescent="0.2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 s="1">
        <f t="shared" si="82"/>
        <v>833.78</v>
      </c>
      <c r="H2682" s="1" t="str">
        <f>_xlfn.XLOOKUP(C2682,Product!A:A,Product!B:B,"not found",0)</f>
        <v>Sun Bicycles Cruz 7 - 2017</v>
      </c>
      <c r="I2682" s="1">
        <f t="shared" si="83"/>
        <v>833.78</v>
      </c>
    </row>
    <row r="2683" spans="1:9" x14ac:dyDescent="0.2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 s="1">
        <f t="shared" si="82"/>
        <v>1199.78</v>
      </c>
      <c r="H2683" s="1" t="str">
        <f>_xlfn.XLOOKUP(C2683,Product!A:A,Product!B:B,"not found",0)</f>
        <v>Electra Cruiser Lux Fat Tire 1 Ladies - 2017</v>
      </c>
      <c r="I2683" s="1">
        <f t="shared" si="83"/>
        <v>1199.78</v>
      </c>
    </row>
    <row r="2684" spans="1:9" x14ac:dyDescent="0.2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 s="1">
        <f t="shared" si="82"/>
        <v>499.89</v>
      </c>
      <c r="H2684" s="1" t="str">
        <f>_xlfn.XLOOKUP(C2684,Product!A:A,Product!B:B,"not found",0)</f>
        <v>Electra Townie Original 7D - 2015/2016</v>
      </c>
      <c r="I2684" s="1">
        <f t="shared" si="83"/>
        <v>499.89</v>
      </c>
    </row>
    <row r="2685" spans="1:9" x14ac:dyDescent="0.2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 s="1">
        <f t="shared" si="82"/>
        <v>979.93000000000006</v>
      </c>
      <c r="H2685" s="1" t="str">
        <f>_xlfn.XLOOKUP(C2685,Product!A:A,Product!B:B,"not found",0)</f>
        <v>Electra Townie Original 7D - 2017</v>
      </c>
      <c r="I2685" s="1">
        <f t="shared" si="83"/>
        <v>979.93000000000006</v>
      </c>
    </row>
    <row r="2686" spans="1:9" x14ac:dyDescent="0.2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 s="1">
        <f t="shared" si="82"/>
        <v>3361.91</v>
      </c>
      <c r="H2686" s="1" t="str">
        <f>_xlfn.XLOOKUP(C2686,Product!A:A,Product!B:B,"not found",0)</f>
        <v>Surly Straggler 650b - 2016</v>
      </c>
      <c r="I2686" s="1">
        <f t="shared" si="83"/>
        <v>3361.91</v>
      </c>
    </row>
    <row r="2687" spans="1:9" x14ac:dyDescent="0.2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 s="1">
        <f t="shared" si="82"/>
        <v>979.93000000000006</v>
      </c>
      <c r="H2687" s="1" t="str">
        <f>_xlfn.XLOOKUP(C2687,Product!A:A,Product!B:B,"not found",0)</f>
        <v>Electra Straight 8 3i (20-inch) - Boy's - 2017</v>
      </c>
      <c r="I2687" s="1">
        <f t="shared" si="83"/>
        <v>979.93000000000006</v>
      </c>
    </row>
    <row r="2688" spans="1:9" x14ac:dyDescent="0.2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 s="1">
        <f t="shared" si="82"/>
        <v>941.88</v>
      </c>
      <c r="H2688" s="1" t="str">
        <f>_xlfn.XLOOKUP(C2688,Product!A:A,Product!B:B,"not found",0)</f>
        <v>Sun Bicycles Drifter 7 - 2017</v>
      </c>
      <c r="I2688" s="1">
        <f t="shared" si="83"/>
        <v>941.88</v>
      </c>
    </row>
    <row r="2689" spans="1:9" x14ac:dyDescent="0.2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 s="1">
        <f t="shared" si="82"/>
        <v>1665.91</v>
      </c>
      <c r="H2689" s="1" t="str">
        <f>_xlfn.XLOOKUP(C2689,Product!A:A,Product!B:B,"not found",0)</f>
        <v>Sun Bicycles Spider 3i - 2017</v>
      </c>
      <c r="I2689" s="1">
        <f t="shared" si="83"/>
        <v>1665.91</v>
      </c>
    </row>
    <row r="2690" spans="1:9" x14ac:dyDescent="0.2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 s="1">
        <f t="shared" si="82"/>
        <v>551.94000000000005</v>
      </c>
      <c r="H2690" s="1" t="str">
        <f>_xlfn.XLOOKUP(C2690,Product!A:A,Product!B:B,"not found",0)</f>
        <v>Sun Bicycles Streamway 3 - 2017</v>
      </c>
      <c r="I2690" s="1">
        <f t="shared" si="83"/>
        <v>551.94000000000005</v>
      </c>
    </row>
    <row r="2691" spans="1:9" x14ac:dyDescent="0.2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 s="1">
        <f t="shared" ref="G2691:G2754" si="84">(E2691*D2691)-F2691</f>
        <v>489.94</v>
      </c>
      <c r="H2691" s="1" t="str">
        <f>_xlfn.XLOOKUP(C2691,Product!A:A,Product!B:B,"not found",0)</f>
        <v>Electra Townie 3i EQ (20-inch) - Boys' - 2017</v>
      </c>
      <c r="I2691" s="1">
        <f t="shared" ref="I2691:I2754" si="85">(D2691*E2691)-F2691</f>
        <v>489.94</v>
      </c>
    </row>
    <row r="2692" spans="1:9" x14ac:dyDescent="0.2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 s="1">
        <f t="shared" si="84"/>
        <v>499.79</v>
      </c>
      <c r="H2692" s="1" t="str">
        <f>_xlfn.XLOOKUP(C2692,Product!A:A,Product!B:B,"not found",0)</f>
        <v>Electra Townie Original 7D - 2015/2016</v>
      </c>
      <c r="I2692" s="1">
        <f t="shared" si="85"/>
        <v>499.79</v>
      </c>
    </row>
    <row r="2693" spans="1:9" x14ac:dyDescent="0.2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 s="1">
        <f t="shared" si="84"/>
        <v>659.79</v>
      </c>
      <c r="H2693" s="1" t="str">
        <f>_xlfn.XLOOKUP(C2693,Product!A:A,Product!B:B,"not found",0)</f>
        <v>Electra Amsterdam Original 3i Ladies' - 2017</v>
      </c>
      <c r="I2693" s="1">
        <f t="shared" si="85"/>
        <v>659.79</v>
      </c>
    </row>
    <row r="2694" spans="1:9" x14ac:dyDescent="0.2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 s="1">
        <f t="shared" si="84"/>
        <v>1999.91</v>
      </c>
      <c r="H2694" s="1" t="str">
        <f>_xlfn.XLOOKUP(C2694,Product!A:A,Product!B:B,"not found",0)</f>
        <v>Trek X-Caliber 8 - 2017</v>
      </c>
      <c r="I2694" s="1">
        <f t="shared" si="85"/>
        <v>1999.91</v>
      </c>
    </row>
    <row r="2695" spans="1:9" x14ac:dyDescent="0.2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 s="1">
        <f t="shared" si="84"/>
        <v>1199.8800000000001</v>
      </c>
      <c r="H2695" s="1" t="str">
        <f>_xlfn.XLOOKUP(C2695,Product!A:A,Product!B:B,"not found",0)</f>
        <v>Electra Townie Original 7D EQ - 2016</v>
      </c>
      <c r="I2695" s="1">
        <f t="shared" si="85"/>
        <v>1199.8800000000001</v>
      </c>
    </row>
    <row r="2696" spans="1:9" x14ac:dyDescent="0.2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 s="1">
        <f t="shared" si="84"/>
        <v>1319.78</v>
      </c>
      <c r="H2696" s="1" t="str">
        <f>_xlfn.XLOOKUP(C2696,Product!A:A,Product!B:B,"not found",0)</f>
        <v>Electra Amsterdam Original 3i - 2015/2017</v>
      </c>
      <c r="I2696" s="1">
        <f t="shared" si="85"/>
        <v>1319.78</v>
      </c>
    </row>
    <row r="2697" spans="1:9" x14ac:dyDescent="0.2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 s="1">
        <f t="shared" si="84"/>
        <v>659.78</v>
      </c>
      <c r="H2697" s="1" t="str">
        <f>_xlfn.XLOOKUP(C2697,Product!A:A,Product!B:B,"not found",0)</f>
        <v>Haro Downtown 16 - 2017</v>
      </c>
      <c r="I2697" s="1">
        <f t="shared" si="85"/>
        <v>659.78</v>
      </c>
    </row>
    <row r="2698" spans="1:9" x14ac:dyDescent="0.2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 s="1">
        <f t="shared" si="84"/>
        <v>833.91</v>
      </c>
      <c r="H2698" s="1" t="str">
        <f>_xlfn.XLOOKUP(C2698,Product!A:A,Product!B:B,"not found",0)</f>
        <v>Sun Bicycles Cruz 7 - 2017</v>
      </c>
      <c r="I2698" s="1">
        <f t="shared" si="85"/>
        <v>833.91</v>
      </c>
    </row>
    <row r="2699" spans="1:9" x14ac:dyDescent="0.2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 s="1">
        <f t="shared" si="84"/>
        <v>533.94000000000005</v>
      </c>
      <c r="H2699" s="1" t="str">
        <f>_xlfn.XLOOKUP(C2699,Product!A:A,Product!B:B,"not found",0)</f>
        <v>Sun Bicycles Streamway 7 - 2017</v>
      </c>
      <c r="I2699" s="1">
        <f t="shared" si="85"/>
        <v>533.94000000000005</v>
      </c>
    </row>
    <row r="2700" spans="1:9" x14ac:dyDescent="0.2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 s="1">
        <f t="shared" si="84"/>
        <v>499.78000000000003</v>
      </c>
      <c r="H2700" s="1" t="str">
        <f>_xlfn.XLOOKUP(C2700,Product!A:A,Product!B:B,"not found",0)</f>
        <v>Haro Shredder Pro 20 - 2017</v>
      </c>
      <c r="I2700" s="1">
        <f t="shared" si="85"/>
        <v>499.78000000000003</v>
      </c>
    </row>
    <row r="2701" spans="1:9" x14ac:dyDescent="0.2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 s="1">
        <f t="shared" si="84"/>
        <v>939.93000000000006</v>
      </c>
      <c r="H2701" s="1" t="str">
        <f>_xlfn.XLOOKUP(C2701,Product!A:A,Product!B:B,"not found",0)</f>
        <v>Trek Session DH 27.5 Carbon Frameset - 2017</v>
      </c>
      <c r="I2701" s="1">
        <f t="shared" si="85"/>
        <v>939.93000000000006</v>
      </c>
    </row>
    <row r="2702" spans="1:9" x14ac:dyDescent="0.2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 s="1">
        <f t="shared" si="84"/>
        <v>1079.8800000000001</v>
      </c>
      <c r="H2702" s="1" t="str">
        <f>_xlfn.XLOOKUP(C2702,Product!A:A,Product!B:B,"not found",0)</f>
        <v>Haro SR 1.1 - 2017</v>
      </c>
      <c r="I2702" s="1">
        <f t="shared" si="85"/>
        <v>1079.8800000000001</v>
      </c>
    </row>
    <row r="2703" spans="1:9" x14ac:dyDescent="0.2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 s="1">
        <f t="shared" si="84"/>
        <v>11999.93</v>
      </c>
      <c r="H2703" s="1" t="str">
        <f>_xlfn.XLOOKUP(C2703,Product!A:A,Product!B:B,"not found",0)</f>
        <v>Trek Silque SLR 7 Women's - 2017</v>
      </c>
      <c r="I2703" s="1">
        <f t="shared" si="85"/>
        <v>11999.93</v>
      </c>
    </row>
    <row r="2704" spans="1:9" x14ac:dyDescent="0.2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 s="1">
        <f t="shared" si="84"/>
        <v>3999.89</v>
      </c>
      <c r="H2704" s="1" t="str">
        <f>_xlfn.XLOOKUP(C2704,Product!A:A,Product!B:B,"not found",0)</f>
        <v>Trek Slash 8 27.5 - 2016</v>
      </c>
      <c r="I2704" s="1">
        <f t="shared" si="85"/>
        <v>3999.89</v>
      </c>
    </row>
    <row r="2705" spans="1:9" x14ac:dyDescent="0.2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 s="1">
        <f t="shared" si="84"/>
        <v>659.78</v>
      </c>
      <c r="H2705" s="1" t="str">
        <f>_xlfn.XLOOKUP(C2705,Product!A:A,Product!B:B,"not found",0)</f>
        <v>Haro Downtown 16 - 2017</v>
      </c>
      <c r="I2705" s="1">
        <f t="shared" si="85"/>
        <v>659.78</v>
      </c>
    </row>
    <row r="2706" spans="1:9" x14ac:dyDescent="0.2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 s="1">
        <f t="shared" si="84"/>
        <v>3499.9399999999996</v>
      </c>
      <c r="H2706" s="1" t="str">
        <f>_xlfn.XLOOKUP(C2706,Product!A:A,Product!B:B,"not found",0)</f>
        <v>Trek Boone 7 - 2017</v>
      </c>
      <c r="I2706" s="1">
        <f t="shared" si="85"/>
        <v>3499.9399999999996</v>
      </c>
    </row>
    <row r="2707" spans="1:9" x14ac:dyDescent="0.2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 s="1">
        <f t="shared" si="84"/>
        <v>539.78</v>
      </c>
      <c r="H2707" s="1" t="str">
        <f>_xlfn.XLOOKUP(C2707,Product!A:A,Product!B:B,"not found",0)</f>
        <v>Electra Girl's Hawaii 1 (16-inch) - 2015/2016</v>
      </c>
      <c r="I2707" s="1">
        <f t="shared" si="85"/>
        <v>539.78</v>
      </c>
    </row>
    <row r="2708" spans="1:9" x14ac:dyDescent="0.2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 s="1">
        <f t="shared" si="84"/>
        <v>10999.91</v>
      </c>
      <c r="H2708" s="1" t="str">
        <f>_xlfn.XLOOKUP(C2708,Product!A:A,Product!B:B,"not found",0)</f>
        <v>Trek Domane SLR 6 Disc - 2017</v>
      </c>
      <c r="I2708" s="1">
        <f t="shared" si="85"/>
        <v>10999.91</v>
      </c>
    </row>
    <row r="2709" spans="1:9" x14ac:dyDescent="0.2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 s="1">
        <f t="shared" si="84"/>
        <v>469.94</v>
      </c>
      <c r="H2709" s="1" t="str">
        <f>_xlfn.XLOOKUP(C2709,Product!A:A,Product!B:B,"not found",0)</f>
        <v>Trek Farley Alloy Frameset - 2017</v>
      </c>
      <c r="I2709" s="1">
        <f t="shared" si="85"/>
        <v>469.94</v>
      </c>
    </row>
    <row r="2710" spans="1:9" x14ac:dyDescent="0.2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 s="1">
        <f t="shared" si="84"/>
        <v>4599.91</v>
      </c>
      <c r="H2710" s="1" t="str">
        <f>_xlfn.XLOOKUP(C2710,Product!A:A,Product!B:B,"not found",0)</f>
        <v>Trek Fuel EX 5 27.5 Plus - 2017</v>
      </c>
      <c r="I2710" s="1">
        <f t="shared" si="85"/>
        <v>4599.91</v>
      </c>
    </row>
    <row r="2711" spans="1:9" x14ac:dyDescent="0.2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 s="1">
        <f t="shared" si="84"/>
        <v>539.91999999999996</v>
      </c>
      <c r="H2711" s="1" t="str">
        <f>_xlfn.XLOOKUP(C2711,Product!A:A,Product!B:B,"not found",0)</f>
        <v>Haro SR 1.1 - 2017</v>
      </c>
      <c r="I2711" s="1">
        <f t="shared" si="85"/>
        <v>539.91999999999996</v>
      </c>
    </row>
    <row r="2712" spans="1:9" x14ac:dyDescent="0.2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 s="1">
        <f t="shared" si="84"/>
        <v>599.78</v>
      </c>
      <c r="H2712" s="1" t="str">
        <f>_xlfn.XLOOKUP(C2712,Product!A:A,Product!B:B,"not found",0)</f>
        <v>Electra Girl's Hawaii 1 (20-inch) - 2015/2016</v>
      </c>
      <c r="I2712" s="1">
        <f t="shared" si="85"/>
        <v>599.78</v>
      </c>
    </row>
    <row r="2713" spans="1:9" x14ac:dyDescent="0.2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 s="1">
        <f t="shared" si="84"/>
        <v>1199.8800000000001</v>
      </c>
      <c r="H2713" s="1" t="str">
        <f>_xlfn.XLOOKUP(C2713,Product!A:A,Product!B:B,"not found",0)</f>
        <v>Electra Townie Original 7D EQ - Women's - 2016</v>
      </c>
      <c r="I2713" s="1">
        <f t="shared" si="85"/>
        <v>1199.8800000000001</v>
      </c>
    </row>
    <row r="2714" spans="1:9" x14ac:dyDescent="0.2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 s="1">
        <f t="shared" si="84"/>
        <v>339.79</v>
      </c>
      <c r="H2714" s="1" t="str">
        <f>_xlfn.XLOOKUP(C2714,Product!A:A,Product!B:B,"not found",0)</f>
        <v>Electra Townie 7D (20-inch) - Boys' - 2017</v>
      </c>
      <c r="I2714" s="1">
        <f t="shared" si="85"/>
        <v>339.79</v>
      </c>
    </row>
    <row r="2715" spans="1:9" x14ac:dyDescent="0.2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 s="1">
        <f t="shared" si="84"/>
        <v>419.78000000000003</v>
      </c>
      <c r="H2715" s="1" t="str">
        <f>_xlfn.XLOOKUP(C2715,Product!A:A,Product!B:B,"not found",0)</f>
        <v>Haro Shredder 20 - 2017</v>
      </c>
      <c r="I2715" s="1">
        <f t="shared" si="85"/>
        <v>419.78000000000003</v>
      </c>
    </row>
    <row r="2716" spans="1:9" x14ac:dyDescent="0.2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 s="1">
        <f t="shared" si="84"/>
        <v>1239.78</v>
      </c>
      <c r="H2716" s="1" t="str">
        <f>_xlfn.XLOOKUP(C2716,Product!A:A,Product!B:B,"not found",0)</f>
        <v>Sun Bicycles Biscayne Tandem 7 - 2017</v>
      </c>
      <c r="I2716" s="1">
        <f t="shared" si="85"/>
        <v>1239.78</v>
      </c>
    </row>
    <row r="2717" spans="1:9" x14ac:dyDescent="0.2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 s="1">
        <f t="shared" si="84"/>
        <v>5999.8799999999992</v>
      </c>
      <c r="H2717" s="1" t="str">
        <f>_xlfn.XLOOKUP(C2717,Product!A:A,Product!B:B,"not found",0)</f>
        <v>Trek Conduit+ - 2016</v>
      </c>
      <c r="I2717" s="1">
        <f t="shared" si="85"/>
        <v>5999.8799999999992</v>
      </c>
    </row>
    <row r="2718" spans="1:9" x14ac:dyDescent="0.2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 s="1">
        <f t="shared" si="84"/>
        <v>5399.9299999999994</v>
      </c>
      <c r="H2718" s="1" t="str">
        <f>_xlfn.XLOOKUP(C2718,Product!A:A,Product!B:B,"not found",0)</f>
        <v>Trek Domane S 6 - 2017</v>
      </c>
      <c r="I2718" s="1">
        <f t="shared" si="85"/>
        <v>5399.9299999999994</v>
      </c>
    </row>
    <row r="2719" spans="1:9" x14ac:dyDescent="0.2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 s="1">
        <f t="shared" si="84"/>
        <v>5499.94</v>
      </c>
      <c r="H2719" s="1" t="str">
        <f>_xlfn.XLOOKUP(C2719,Product!A:A,Product!B:B,"not found",0)</f>
        <v>Trek Domane SLR 6 Disc - 2017</v>
      </c>
      <c r="I2719" s="1">
        <f t="shared" si="85"/>
        <v>5499.94</v>
      </c>
    </row>
    <row r="2720" spans="1:9" x14ac:dyDescent="0.2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 s="1">
        <f t="shared" si="84"/>
        <v>2599.89</v>
      </c>
      <c r="H2720" s="1" t="str">
        <f>_xlfn.XLOOKUP(C2720,Product!A:A,Product!B:B,"not found",0)</f>
        <v>Trek Domane S 5 Disc - 2017</v>
      </c>
      <c r="I2720" s="1">
        <f t="shared" si="85"/>
        <v>2599.89</v>
      </c>
    </row>
    <row r="2721" spans="1:9" x14ac:dyDescent="0.2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 s="1">
        <f t="shared" si="84"/>
        <v>10599.88</v>
      </c>
      <c r="H2721" s="1" t="str">
        <f>_xlfn.XLOOKUP(C2721,Product!A:A,Product!B:B,"not found",0)</f>
        <v>Trek Fuel EX 9.8 27.5 Plus - 2017</v>
      </c>
      <c r="I2721" s="1">
        <f t="shared" si="85"/>
        <v>10599.88</v>
      </c>
    </row>
    <row r="2722" spans="1:9" x14ac:dyDescent="0.2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 s="1">
        <f t="shared" si="84"/>
        <v>6999.78</v>
      </c>
      <c r="H2722" s="1" t="str">
        <f>_xlfn.XLOOKUP(C2722,Product!A:A,Product!B:B,"not found",0)</f>
        <v>Trek Boone 7 - 2017</v>
      </c>
      <c r="I2722" s="1">
        <f t="shared" si="85"/>
        <v>6999.78</v>
      </c>
    </row>
    <row r="2723" spans="1:9" x14ac:dyDescent="0.2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 s="1">
        <f t="shared" si="84"/>
        <v>1199.9100000000001</v>
      </c>
      <c r="H2723" s="1" t="str">
        <f>_xlfn.XLOOKUP(C2723,Product!A:A,Product!B:B,"not found",0)</f>
        <v>Electra Townie Original 7D EQ - Women's - 2016</v>
      </c>
      <c r="I2723" s="1">
        <f t="shared" si="85"/>
        <v>1199.9100000000001</v>
      </c>
    </row>
    <row r="2724" spans="1:9" x14ac:dyDescent="0.2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 s="1">
        <f t="shared" si="84"/>
        <v>1999.94</v>
      </c>
      <c r="H2724" s="1" t="str">
        <f>_xlfn.XLOOKUP(C2724,Product!A:A,Product!B:B,"not found",0)</f>
        <v>Trek Emonda S 5 - 2017</v>
      </c>
      <c r="I2724" s="1">
        <f t="shared" si="85"/>
        <v>1999.94</v>
      </c>
    </row>
    <row r="2725" spans="1:9" x14ac:dyDescent="0.2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 s="1">
        <f t="shared" si="84"/>
        <v>599.91</v>
      </c>
      <c r="H2725" s="1" t="str">
        <f>_xlfn.XLOOKUP(C2725,Product!A:A,Product!B:B,"not found",0)</f>
        <v>Electra Girl's Hawaii 1 (20-inch) - 2015/2016</v>
      </c>
      <c r="I2725" s="1">
        <f t="shared" si="85"/>
        <v>599.91</v>
      </c>
    </row>
    <row r="2726" spans="1:9" x14ac:dyDescent="0.2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 s="1">
        <f t="shared" si="84"/>
        <v>5799.8799999999992</v>
      </c>
      <c r="H2726" s="1" t="str">
        <f>_xlfn.XLOOKUP(C2726,Product!A:A,Product!B:B,"not found",0)</f>
        <v>Trek Fuel EX 8 29 - 2016</v>
      </c>
      <c r="I2726" s="1">
        <f t="shared" si="85"/>
        <v>5799.8799999999992</v>
      </c>
    </row>
    <row r="2727" spans="1:9" x14ac:dyDescent="0.2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 s="1">
        <f t="shared" si="84"/>
        <v>5299.8899999999994</v>
      </c>
      <c r="H2727" s="1" t="str">
        <f>_xlfn.XLOOKUP(C2727,Product!A:A,Product!B:B,"not found",0)</f>
        <v>Trek Fuel EX 9.8 27.5 Plus - 2017</v>
      </c>
      <c r="I2727" s="1">
        <f t="shared" si="85"/>
        <v>5299.8899999999994</v>
      </c>
    </row>
    <row r="2728" spans="1:9" x14ac:dyDescent="0.2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 s="1">
        <f t="shared" si="84"/>
        <v>3265.91</v>
      </c>
      <c r="H2728" s="1" t="str">
        <f>_xlfn.XLOOKUP(C2728,Product!A:A,Product!B:B,"not found",0)</f>
        <v>Surly Wednesday - 2017</v>
      </c>
      <c r="I2728" s="1">
        <f t="shared" si="85"/>
        <v>3265.91</v>
      </c>
    </row>
    <row r="2729" spans="1:9" x14ac:dyDescent="0.2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 s="1">
        <f t="shared" si="84"/>
        <v>349.94</v>
      </c>
      <c r="H2729" s="1" t="str">
        <f>_xlfn.XLOOKUP(C2729,Product!A:A,Product!B:B,"not found",0)</f>
        <v>Electra Moto 3i (20-inch) - Boy's - 2017</v>
      </c>
      <c r="I2729" s="1">
        <f t="shared" si="85"/>
        <v>349.94</v>
      </c>
    </row>
    <row r="2730" spans="1:9" x14ac:dyDescent="0.2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 s="1">
        <f t="shared" si="84"/>
        <v>3499.79</v>
      </c>
      <c r="H2730" s="1" t="str">
        <f>_xlfn.XLOOKUP(C2730,Product!A:A,Product!B:B,"not found",0)</f>
        <v>Trek Boone Race Shop Limited - 2017</v>
      </c>
      <c r="I2730" s="1">
        <f t="shared" si="85"/>
        <v>3499.79</v>
      </c>
    </row>
    <row r="2731" spans="1:9" x14ac:dyDescent="0.2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 s="1">
        <f t="shared" si="84"/>
        <v>189.94</v>
      </c>
      <c r="H2731" s="1" t="str">
        <f>_xlfn.XLOOKUP(C2731,Product!A:A,Product!B:B,"not found",0)</f>
        <v>Trek Precaliber 12 Girls - 2017</v>
      </c>
      <c r="I2731" s="1">
        <f t="shared" si="85"/>
        <v>189.94</v>
      </c>
    </row>
    <row r="2732" spans="1:9" x14ac:dyDescent="0.2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 s="1">
        <f t="shared" si="84"/>
        <v>599.88</v>
      </c>
      <c r="H2732" s="1" t="str">
        <f>_xlfn.XLOOKUP(C2732,Product!A:A,Product!B:B,"not found",0)</f>
        <v>Electra Girl's Hawaii 1 16" - 2017</v>
      </c>
      <c r="I2732" s="1">
        <f t="shared" si="85"/>
        <v>599.88</v>
      </c>
    </row>
    <row r="2733" spans="1:9" x14ac:dyDescent="0.2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 s="1">
        <f t="shared" si="84"/>
        <v>299.79000000000002</v>
      </c>
      <c r="H2733" s="1" t="str">
        <f>_xlfn.XLOOKUP(C2733,Product!A:A,Product!B:B,"not found",0)</f>
        <v>Electra Girl's Hawaii 1 (20-inch) - 2015/2016</v>
      </c>
      <c r="I2733" s="1">
        <f t="shared" si="85"/>
        <v>299.79000000000002</v>
      </c>
    </row>
    <row r="2734" spans="1:9" x14ac:dyDescent="0.2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 s="1">
        <f t="shared" si="84"/>
        <v>1499.88</v>
      </c>
      <c r="H2734" s="1" t="str">
        <f>_xlfn.XLOOKUP(C2734,Product!A:A,Product!B:B,"not found",0)</f>
        <v>Sun Bicycles Brickell Tandem 7 - 2017</v>
      </c>
      <c r="I2734" s="1">
        <f t="shared" si="85"/>
        <v>1499.88</v>
      </c>
    </row>
    <row r="2735" spans="1:9" x14ac:dyDescent="0.2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 s="1">
        <f t="shared" si="84"/>
        <v>539.78</v>
      </c>
      <c r="H2735" s="1" t="str">
        <f>_xlfn.XLOOKUP(C2735,Product!A:A,Product!B:B,"not found",0)</f>
        <v>Electra Cruiser 1 (24-Inch) - 2016</v>
      </c>
      <c r="I2735" s="1">
        <f t="shared" si="85"/>
        <v>539.78</v>
      </c>
    </row>
    <row r="2736" spans="1:9" x14ac:dyDescent="0.2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 s="1">
        <f t="shared" si="84"/>
        <v>805.88</v>
      </c>
      <c r="H2736" s="1" t="str">
        <f>_xlfn.XLOOKUP(C2736,Product!A:A,Product!B:B,"not found",0)</f>
        <v>Sun Bicycles Boardwalk (24-inch Wheels) - 2017</v>
      </c>
      <c r="I2736" s="1">
        <f t="shared" si="85"/>
        <v>805.88</v>
      </c>
    </row>
    <row r="2737" spans="1:9" x14ac:dyDescent="0.2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 s="1">
        <f t="shared" si="84"/>
        <v>899.93000000000006</v>
      </c>
      <c r="H2737" s="1" t="str">
        <f>_xlfn.XLOOKUP(C2737,Product!A:A,Product!B:B,"not found",0)</f>
        <v>Sun Bicycles Cruz 3 - Women's - 2017</v>
      </c>
      <c r="I2737" s="1">
        <f t="shared" si="85"/>
        <v>899.93000000000006</v>
      </c>
    </row>
    <row r="2738" spans="1:9" x14ac:dyDescent="0.2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 s="1">
        <f t="shared" si="84"/>
        <v>539.91</v>
      </c>
      <c r="H2738" s="1" t="str">
        <f>_xlfn.XLOOKUP(C2738,Product!A:A,Product!B:B,"not found",0)</f>
        <v>Electra Girl's Hawaii 1 (16-inch) - 2015/2016</v>
      </c>
      <c r="I2738" s="1">
        <f t="shared" si="85"/>
        <v>539.91</v>
      </c>
    </row>
    <row r="2739" spans="1:9" x14ac:dyDescent="0.2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 s="1">
        <f t="shared" si="84"/>
        <v>1319.93</v>
      </c>
      <c r="H2739" s="1" t="str">
        <f>_xlfn.XLOOKUP(C2739,Product!A:A,Product!B:B,"not found",0)</f>
        <v>Electra Amsterdam Original 3i - 2015/2017</v>
      </c>
      <c r="I2739" s="1">
        <f t="shared" si="85"/>
        <v>1319.93</v>
      </c>
    </row>
    <row r="2740" spans="1:9" x14ac:dyDescent="0.2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 s="1">
        <f t="shared" si="84"/>
        <v>250.92000000000002</v>
      </c>
      <c r="H2740" s="1" t="str">
        <f>_xlfn.XLOOKUP(C2740,Product!A:A,Product!B:B,"not found",0)</f>
        <v>Sun Bicycles Revolutions 24 - 2017</v>
      </c>
      <c r="I2740" s="1">
        <f t="shared" si="85"/>
        <v>250.92000000000002</v>
      </c>
    </row>
    <row r="2741" spans="1:9" x14ac:dyDescent="0.2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 s="1">
        <f t="shared" si="84"/>
        <v>470.94</v>
      </c>
      <c r="H2741" s="1" t="str">
        <f>_xlfn.XLOOKUP(C2741,Product!A:A,Product!B:B,"not found",0)</f>
        <v>Sun Bicycles Drifter 7 - Women's - 2017</v>
      </c>
      <c r="I2741" s="1">
        <f t="shared" si="85"/>
        <v>470.94</v>
      </c>
    </row>
    <row r="2742" spans="1:9" x14ac:dyDescent="0.2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 s="1">
        <f t="shared" si="84"/>
        <v>6499.8899999999994</v>
      </c>
      <c r="H2742" s="1" t="str">
        <f>_xlfn.XLOOKUP(C2742,Product!A:A,Product!B:B,"not found",0)</f>
        <v>Trek Silque SLR 8 Women's - 2017</v>
      </c>
      <c r="I2742" s="1">
        <f t="shared" si="85"/>
        <v>6499.8899999999994</v>
      </c>
    </row>
    <row r="2743" spans="1:9" x14ac:dyDescent="0.2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 s="1">
        <f t="shared" si="84"/>
        <v>299.79000000000002</v>
      </c>
      <c r="H2743" s="1" t="str">
        <f>_xlfn.XLOOKUP(C2743,Product!A:A,Product!B:B,"not found",0)</f>
        <v>Electra Girl's Hawaii 1 16" - 2017</v>
      </c>
      <c r="I2743" s="1">
        <f t="shared" si="85"/>
        <v>299.79000000000002</v>
      </c>
    </row>
    <row r="2744" spans="1:9" x14ac:dyDescent="0.2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 s="1">
        <f t="shared" si="84"/>
        <v>529.79</v>
      </c>
      <c r="H2744" s="1" t="str">
        <f>_xlfn.XLOOKUP(C2744,Product!A:A,Product!B:B,"not found",0)</f>
        <v>Electra Moto 1 - 2016</v>
      </c>
      <c r="I2744" s="1">
        <f t="shared" si="85"/>
        <v>529.79</v>
      </c>
    </row>
    <row r="2745" spans="1:9" x14ac:dyDescent="0.2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 s="1">
        <f t="shared" si="84"/>
        <v>619.89</v>
      </c>
      <c r="H2745" s="1" t="str">
        <f>_xlfn.XLOOKUP(C2745,Product!A:A,Product!B:B,"not found",0)</f>
        <v>Sun Bicycles Biscayne Tandem 7 - 2017</v>
      </c>
      <c r="I2745" s="1">
        <f t="shared" si="85"/>
        <v>619.89</v>
      </c>
    </row>
    <row r="2746" spans="1:9" x14ac:dyDescent="0.2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 s="1">
        <f t="shared" si="84"/>
        <v>1469.94</v>
      </c>
      <c r="H2746" s="1" t="str">
        <f>_xlfn.XLOOKUP(C2746,Product!A:A,Product!B:B,"not found",0)</f>
        <v>Haro Shift R3 - 2017</v>
      </c>
      <c r="I2746" s="1">
        <f t="shared" si="85"/>
        <v>1469.94</v>
      </c>
    </row>
    <row r="2747" spans="1:9" x14ac:dyDescent="0.2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 s="1">
        <f t="shared" si="84"/>
        <v>346.92</v>
      </c>
      <c r="H2747" s="1" t="str">
        <f>_xlfn.XLOOKUP(C2747,Product!A:A,Product!B:B,"not found",0)</f>
        <v>Sun Bicycles Lil Bolt Type-R - 2017</v>
      </c>
      <c r="I2747" s="1">
        <f t="shared" si="85"/>
        <v>346.92</v>
      </c>
    </row>
    <row r="2748" spans="1:9" x14ac:dyDescent="0.2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 s="1">
        <f t="shared" si="84"/>
        <v>1499.93</v>
      </c>
      <c r="H2748" s="1" t="str">
        <f>_xlfn.XLOOKUP(C2748,Product!A:A,Product!B:B,"not found",0)</f>
        <v>Sun Bicycles Brickell Tandem 7 - 2017</v>
      </c>
      <c r="I2748" s="1">
        <f t="shared" si="85"/>
        <v>1499.93</v>
      </c>
    </row>
    <row r="2749" spans="1:9" x14ac:dyDescent="0.2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 s="1">
        <f t="shared" si="84"/>
        <v>875.89</v>
      </c>
      <c r="H2749" s="1" t="str">
        <f>_xlfn.XLOOKUP(C2749,Product!A:A,Product!B:B,"not found",0)</f>
        <v>Surly Steamroller - 2017</v>
      </c>
      <c r="I2749" s="1">
        <f t="shared" si="85"/>
        <v>875.89</v>
      </c>
    </row>
    <row r="2750" spans="1:9" x14ac:dyDescent="0.2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 s="1">
        <f t="shared" si="84"/>
        <v>2999.93</v>
      </c>
      <c r="H2750" s="1" t="str">
        <f>_xlfn.XLOOKUP(C2750,Product!A:A,Product!B:B,"not found",0)</f>
        <v>Trek Emonda S 4 - 2017</v>
      </c>
      <c r="I2750" s="1">
        <f t="shared" si="85"/>
        <v>2999.93</v>
      </c>
    </row>
    <row r="2751" spans="1:9" x14ac:dyDescent="0.2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 s="1">
        <f t="shared" si="84"/>
        <v>299.88</v>
      </c>
      <c r="H2751" s="1" t="str">
        <f>_xlfn.XLOOKUP(C2751,Product!A:A,Product!B:B,"not found",0)</f>
        <v>Trek Boy's Kickster - 2015/2017</v>
      </c>
      <c r="I2751" s="1">
        <f t="shared" si="85"/>
        <v>299.88</v>
      </c>
    </row>
    <row r="2752" spans="1:9" x14ac:dyDescent="0.2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 s="1">
        <f t="shared" si="84"/>
        <v>533.89</v>
      </c>
      <c r="H2752" s="1" t="str">
        <f>_xlfn.XLOOKUP(C2752,Product!A:A,Product!B:B,"not found",0)</f>
        <v>Sun Bicycles Streamway 7 - 2017</v>
      </c>
      <c r="I2752" s="1">
        <f t="shared" si="85"/>
        <v>533.89</v>
      </c>
    </row>
    <row r="2753" spans="1:9" x14ac:dyDescent="0.2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 s="1">
        <f t="shared" si="84"/>
        <v>10599.779999999999</v>
      </c>
      <c r="H2753" s="1" t="str">
        <f>_xlfn.XLOOKUP(C2753,Product!A:A,Product!B:B,"not found",0)</f>
        <v>Trek Remedy 9.8 - 2017</v>
      </c>
      <c r="I2753" s="1">
        <f t="shared" si="85"/>
        <v>10599.779999999999</v>
      </c>
    </row>
    <row r="2754" spans="1:9" x14ac:dyDescent="0.2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 s="1">
        <f t="shared" si="84"/>
        <v>693.91</v>
      </c>
      <c r="H2754" s="1" t="str">
        <f>_xlfn.XLOOKUP(C2754,Product!A:A,Product!B:B,"not found",0)</f>
        <v>Sun Bicycles Lil Bolt Type-R - 2017</v>
      </c>
      <c r="I2754" s="1">
        <f t="shared" si="85"/>
        <v>693.91</v>
      </c>
    </row>
    <row r="2755" spans="1:9" x14ac:dyDescent="0.2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 s="1">
        <f t="shared" ref="G2755:G2818" si="86">(E2755*D2755)-F2755</f>
        <v>693.91</v>
      </c>
      <c r="H2755" s="1" t="str">
        <f>_xlfn.XLOOKUP(C2755,Product!A:A,Product!B:B,"not found",0)</f>
        <v>Sun Bicycles Lil Bolt Type-R - 2017</v>
      </c>
      <c r="I2755" s="1">
        <f t="shared" ref="I2755:I2818" si="87">(D2755*E2755)-F2755</f>
        <v>693.91</v>
      </c>
    </row>
    <row r="2756" spans="1:9" x14ac:dyDescent="0.2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 s="1">
        <f t="shared" si="86"/>
        <v>979.91</v>
      </c>
      <c r="H2756" s="1" t="str">
        <f>_xlfn.XLOOKUP(C2756,Product!A:A,Product!B:B,"not found",0)</f>
        <v>Electra Townie Original 7D - 2017</v>
      </c>
      <c r="I2756" s="1">
        <f t="shared" si="87"/>
        <v>979.91</v>
      </c>
    </row>
    <row r="2757" spans="1:9" x14ac:dyDescent="0.2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 s="1">
        <f t="shared" si="86"/>
        <v>2899.9199999999996</v>
      </c>
      <c r="H2757" s="1" t="str">
        <f>_xlfn.XLOOKUP(C2757,Product!A:A,Product!B:B,"not found",0)</f>
        <v>Trek Fuel EX 8 29 - 2016</v>
      </c>
      <c r="I2757" s="1">
        <f t="shared" si="87"/>
        <v>2899.9199999999996</v>
      </c>
    </row>
    <row r="2758" spans="1:9" x14ac:dyDescent="0.2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 s="1">
        <f t="shared" si="86"/>
        <v>209.79000000000002</v>
      </c>
      <c r="H2758" s="1" t="str">
        <f>_xlfn.XLOOKUP(C2758,Product!A:A,Product!B:B,"not found",0)</f>
        <v>Trek Precaliber 16 Girls - 2017</v>
      </c>
      <c r="I2758" s="1">
        <f t="shared" si="87"/>
        <v>209.79000000000002</v>
      </c>
    </row>
    <row r="2759" spans="1:9" x14ac:dyDescent="0.2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 s="1">
        <f t="shared" si="86"/>
        <v>439.79</v>
      </c>
      <c r="H2759" s="1" t="str">
        <f>_xlfn.XLOOKUP(C2759,Product!A:A,Product!B:B,"not found",0)</f>
        <v>Electra Cruiser Lux 1 - 2017</v>
      </c>
      <c r="I2759" s="1">
        <f t="shared" si="87"/>
        <v>439.79</v>
      </c>
    </row>
    <row r="2760" spans="1:9" x14ac:dyDescent="0.2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 s="1">
        <f t="shared" si="86"/>
        <v>419.88</v>
      </c>
      <c r="H2760" s="1" t="str">
        <f>_xlfn.XLOOKUP(C2760,Product!A:A,Product!B:B,"not found",0)</f>
        <v>Trek Precaliber 16 Girls - 2017</v>
      </c>
      <c r="I2760" s="1">
        <f t="shared" si="87"/>
        <v>419.88</v>
      </c>
    </row>
    <row r="2761" spans="1:9" x14ac:dyDescent="0.2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 s="1">
        <f t="shared" si="86"/>
        <v>189.94</v>
      </c>
      <c r="H2761" s="1" t="str">
        <f>_xlfn.XLOOKUP(C2761,Product!A:A,Product!B:B,"not found",0)</f>
        <v>Trek Precaliber 12 Girls - 2017</v>
      </c>
      <c r="I2761" s="1">
        <f t="shared" si="87"/>
        <v>189.94</v>
      </c>
    </row>
    <row r="2762" spans="1:9" x14ac:dyDescent="0.2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 s="1">
        <f t="shared" si="86"/>
        <v>749.92</v>
      </c>
      <c r="H2762" s="1" t="str">
        <f>_xlfn.XLOOKUP(C2762,Product!A:A,Product!B:B,"not found",0)</f>
        <v>Sun Bicycles Brickell Tandem 7 - 2017</v>
      </c>
      <c r="I2762" s="1">
        <f t="shared" si="87"/>
        <v>749.92</v>
      </c>
    </row>
    <row r="2763" spans="1:9" x14ac:dyDescent="0.2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 s="1">
        <f t="shared" si="86"/>
        <v>250.79000000000002</v>
      </c>
      <c r="H2763" s="1" t="str">
        <f>_xlfn.XLOOKUP(C2763,Product!A:A,Product!B:B,"not found",0)</f>
        <v>Sun Bicycles Revolutions 24 - 2017</v>
      </c>
      <c r="I2763" s="1">
        <f t="shared" si="87"/>
        <v>250.79000000000002</v>
      </c>
    </row>
    <row r="2764" spans="1:9" x14ac:dyDescent="0.2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 s="1">
        <f t="shared" si="86"/>
        <v>1599.93</v>
      </c>
      <c r="H2764" s="1" t="str">
        <f>_xlfn.XLOOKUP(C2764,Product!A:A,Product!B:B,"not found",0)</f>
        <v>Electra Glam Punk 3i Ladies' - 2017</v>
      </c>
      <c r="I2764" s="1">
        <f t="shared" si="87"/>
        <v>1599.93</v>
      </c>
    </row>
    <row r="2765" spans="1:9" x14ac:dyDescent="0.2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 s="1">
        <f t="shared" si="86"/>
        <v>189.89000000000001</v>
      </c>
      <c r="H2765" s="1" t="str">
        <f>_xlfn.XLOOKUP(C2765,Product!A:A,Product!B:B,"not found",0)</f>
        <v>Trek Precaliber 12 Boys - 2017</v>
      </c>
      <c r="I2765" s="1">
        <f t="shared" si="87"/>
        <v>189.89000000000001</v>
      </c>
    </row>
    <row r="2766" spans="1:9" x14ac:dyDescent="0.2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 s="1">
        <f t="shared" si="86"/>
        <v>551.79</v>
      </c>
      <c r="H2766" s="1" t="str">
        <f>_xlfn.XLOOKUP(C2766,Product!A:A,Product!B:B,"not found",0)</f>
        <v>Sun Bicycles Streamway 3 - 2017</v>
      </c>
      <c r="I2766" s="1">
        <f t="shared" si="87"/>
        <v>551.79</v>
      </c>
    </row>
    <row r="2767" spans="1:9" x14ac:dyDescent="0.2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 s="1">
        <f t="shared" si="86"/>
        <v>189.79000000000002</v>
      </c>
      <c r="H2767" s="1" t="str">
        <f>_xlfn.XLOOKUP(C2767,Product!A:A,Product!B:B,"not found",0)</f>
        <v>Trek Precaliber 12 Boys - 2017</v>
      </c>
      <c r="I2767" s="1">
        <f t="shared" si="87"/>
        <v>189.79000000000002</v>
      </c>
    </row>
    <row r="2768" spans="1:9" x14ac:dyDescent="0.2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 s="1">
        <f t="shared" si="86"/>
        <v>9999.93</v>
      </c>
      <c r="H2768" s="1" t="str">
        <f>_xlfn.XLOOKUP(C2768,Product!A:A,Product!B:B,"not found",0)</f>
        <v>Trek Powerfly 8 FS Plus - 2017</v>
      </c>
      <c r="I2768" s="1">
        <f t="shared" si="87"/>
        <v>9999.93</v>
      </c>
    </row>
    <row r="2769" spans="1:9" x14ac:dyDescent="0.2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 s="1">
        <f t="shared" si="86"/>
        <v>3097.95</v>
      </c>
      <c r="H2769" s="1" t="str">
        <f>_xlfn.XLOOKUP(C2769,Product!A:A,Product!B:B,"not found",0)</f>
        <v>Surly Straggler - 2016</v>
      </c>
      <c r="I2769" s="1">
        <f t="shared" si="87"/>
        <v>3097.95</v>
      </c>
    </row>
    <row r="2770" spans="1:9" x14ac:dyDescent="0.2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 s="1">
        <f t="shared" si="86"/>
        <v>439.79</v>
      </c>
      <c r="H2770" s="1" t="str">
        <f>_xlfn.XLOOKUP(C2770,Product!A:A,Product!B:B,"not found",0)</f>
        <v>Electra Cruiser Lux 1 - 2017</v>
      </c>
      <c r="I2770" s="1">
        <f t="shared" si="87"/>
        <v>439.79</v>
      </c>
    </row>
    <row r="2771" spans="1:9" x14ac:dyDescent="0.2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 s="1">
        <f t="shared" si="86"/>
        <v>832.89</v>
      </c>
      <c r="H2771" s="1" t="str">
        <f>_xlfn.XLOOKUP(C2771,Product!A:A,Product!B:B,"not found",0)</f>
        <v>Surly Troll Frameset - 2017</v>
      </c>
      <c r="I2771" s="1">
        <f t="shared" si="87"/>
        <v>832.89</v>
      </c>
    </row>
    <row r="2772" spans="1:9" x14ac:dyDescent="0.2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 s="1">
        <f t="shared" si="86"/>
        <v>329.89</v>
      </c>
      <c r="H2772" s="1" t="str">
        <f>_xlfn.XLOOKUP(C2772,Product!A:A,Product!B:B,"not found",0)</f>
        <v>Haro Downtown 16 - 2017</v>
      </c>
      <c r="I2772" s="1">
        <f t="shared" si="87"/>
        <v>329.89</v>
      </c>
    </row>
    <row r="2773" spans="1:9" x14ac:dyDescent="0.2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 s="1">
        <f t="shared" si="86"/>
        <v>2999.88</v>
      </c>
      <c r="H2773" s="1" t="str">
        <f>_xlfn.XLOOKUP(C2773,Product!A:A,Product!B:B,"not found",0)</f>
        <v>Trek Emonda S 4 - 2017</v>
      </c>
      <c r="I2773" s="1">
        <f t="shared" si="87"/>
        <v>2999.88</v>
      </c>
    </row>
    <row r="2774" spans="1:9" x14ac:dyDescent="0.2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 s="1">
        <f t="shared" si="86"/>
        <v>6399.8799999999992</v>
      </c>
      <c r="H2774" s="1" t="str">
        <f>_xlfn.XLOOKUP(C2774,Product!A:A,Product!B:B,"not found",0)</f>
        <v>Trek Domane SL Disc Frameset - 2017</v>
      </c>
      <c r="I2774" s="1">
        <f t="shared" si="87"/>
        <v>6399.8799999999992</v>
      </c>
    </row>
    <row r="2775" spans="1:9" x14ac:dyDescent="0.2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 s="1">
        <f t="shared" si="86"/>
        <v>449.89</v>
      </c>
      <c r="H2775" s="1" t="str">
        <f>_xlfn.XLOOKUP(C2775,Product!A:A,Product!B:B,"not found",0)</f>
        <v>Sun Bicycles Cruz 3 - 2017</v>
      </c>
      <c r="I2775" s="1">
        <f t="shared" si="87"/>
        <v>449.89</v>
      </c>
    </row>
    <row r="2776" spans="1:9" x14ac:dyDescent="0.2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 s="1">
        <f t="shared" si="86"/>
        <v>1319.93</v>
      </c>
      <c r="H2776" s="1" t="str">
        <f>_xlfn.XLOOKUP(C2776,Product!A:A,Product!B:B,"not found",0)</f>
        <v>Electra Amsterdam Original 3i - 2015/2017</v>
      </c>
      <c r="I2776" s="1">
        <f t="shared" si="87"/>
        <v>1319.93</v>
      </c>
    </row>
    <row r="2777" spans="1:9" x14ac:dyDescent="0.2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 s="1">
        <f t="shared" si="86"/>
        <v>693.91</v>
      </c>
      <c r="H2777" s="1" t="str">
        <f>_xlfn.XLOOKUP(C2777,Product!A:A,Product!B:B,"not found",0)</f>
        <v>Sun Bicycles Lil Bolt Type-R - 2017</v>
      </c>
      <c r="I2777" s="1">
        <f t="shared" si="87"/>
        <v>693.91</v>
      </c>
    </row>
    <row r="2778" spans="1:9" x14ac:dyDescent="0.2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 s="1">
        <f t="shared" si="86"/>
        <v>3599.93</v>
      </c>
      <c r="H2778" s="1" t="str">
        <f>_xlfn.XLOOKUP(C2778,Product!A:A,Product!B:B,"not found",0)</f>
        <v>Trek Remedy 29 Carbon Frameset - 2016</v>
      </c>
      <c r="I2778" s="1">
        <f t="shared" si="87"/>
        <v>3599.93</v>
      </c>
    </row>
    <row r="2779" spans="1:9" x14ac:dyDescent="0.2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 s="1">
        <f t="shared" si="86"/>
        <v>1099.9100000000001</v>
      </c>
      <c r="H2779" s="1" t="str">
        <f>_xlfn.XLOOKUP(C2779,Product!A:A,Product!B:B,"not found",0)</f>
        <v>Electra Townie Original 21D - 2016</v>
      </c>
      <c r="I2779" s="1">
        <f t="shared" si="87"/>
        <v>1099.9100000000001</v>
      </c>
    </row>
    <row r="2780" spans="1:9" x14ac:dyDescent="0.2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 s="1">
        <f t="shared" si="86"/>
        <v>549.79</v>
      </c>
      <c r="H2780" s="1" t="str">
        <f>_xlfn.XLOOKUP(C2780,Product!A:A,Product!B:B,"not found",0)</f>
        <v>Haro Flightline Two 26 Plus - 2017</v>
      </c>
      <c r="I2780" s="1">
        <f t="shared" si="87"/>
        <v>549.79</v>
      </c>
    </row>
    <row r="2781" spans="1:9" x14ac:dyDescent="0.2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 s="1">
        <f t="shared" si="86"/>
        <v>489.79</v>
      </c>
      <c r="H2781" s="1" t="str">
        <f>_xlfn.XLOOKUP(C2781,Product!A:A,Product!B:B,"not found",0)</f>
        <v>Electra Townie 3i EQ (20-inch) - Boys' - 2017</v>
      </c>
      <c r="I2781" s="1">
        <f t="shared" si="87"/>
        <v>489.79</v>
      </c>
    </row>
    <row r="2782" spans="1:9" x14ac:dyDescent="0.2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 s="1">
        <f t="shared" si="86"/>
        <v>3499.9199999999996</v>
      </c>
      <c r="H2782" s="1" t="str">
        <f>_xlfn.XLOOKUP(C2782,Product!A:A,Product!B:B,"not found",0)</f>
        <v>Trek Boone Race Shop Limited - 2017</v>
      </c>
      <c r="I2782" s="1">
        <f t="shared" si="87"/>
        <v>3499.9199999999996</v>
      </c>
    </row>
    <row r="2783" spans="1:9" x14ac:dyDescent="0.2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 s="1">
        <f t="shared" si="86"/>
        <v>5799.8799999999992</v>
      </c>
      <c r="H2783" s="1" t="str">
        <f>_xlfn.XLOOKUP(C2783,Product!A:A,Product!B:B,"not found",0)</f>
        <v>Trek Fuel EX 8 29 - 2016</v>
      </c>
      <c r="I2783" s="1">
        <f t="shared" si="87"/>
        <v>5799.8799999999992</v>
      </c>
    </row>
    <row r="2784" spans="1:9" x14ac:dyDescent="0.2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 s="1">
        <f t="shared" si="86"/>
        <v>4999.8799999999992</v>
      </c>
      <c r="H2784" s="1" t="str">
        <f>_xlfn.XLOOKUP(C2784,Product!A:A,Product!B:B,"not found",0)</f>
        <v>Surly Karate Monkey 27.5+ Frameset - 2017</v>
      </c>
      <c r="I2784" s="1">
        <f t="shared" si="87"/>
        <v>4999.8799999999992</v>
      </c>
    </row>
    <row r="2785" spans="1:9" x14ac:dyDescent="0.2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 s="1">
        <f t="shared" si="86"/>
        <v>10599.93</v>
      </c>
      <c r="H2785" s="1" t="str">
        <f>_xlfn.XLOOKUP(C2785,Product!A:A,Product!B:B,"not found",0)</f>
        <v>Trek Remedy 9.8 - 2017</v>
      </c>
      <c r="I2785" s="1">
        <f t="shared" si="87"/>
        <v>10599.93</v>
      </c>
    </row>
    <row r="2786" spans="1:9" x14ac:dyDescent="0.2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 s="1">
        <f t="shared" si="86"/>
        <v>416.92</v>
      </c>
      <c r="H2786" s="1" t="str">
        <f>_xlfn.XLOOKUP(C2786,Product!A:A,Product!B:B,"not found",0)</f>
        <v>Sun Bicycles Atlas X-Type - 2017</v>
      </c>
      <c r="I2786" s="1">
        <f t="shared" si="87"/>
        <v>416.92</v>
      </c>
    </row>
    <row r="2787" spans="1:9" x14ac:dyDescent="0.2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 s="1">
        <f t="shared" si="86"/>
        <v>939.88</v>
      </c>
      <c r="H2787" s="1" t="str">
        <f>_xlfn.XLOOKUP(C2787,Product!A:A,Product!B:B,"not found",0)</f>
        <v>Surly Wednesday Frameset - 2017</v>
      </c>
      <c r="I2787" s="1">
        <f t="shared" si="87"/>
        <v>939.88</v>
      </c>
    </row>
    <row r="2788" spans="1:9" x14ac:dyDescent="0.2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 s="1">
        <f t="shared" si="86"/>
        <v>539.78</v>
      </c>
      <c r="H2788" s="1" t="str">
        <f>_xlfn.XLOOKUP(C2788,Product!A:A,Product!B:B,"not found",0)</f>
        <v>Electra Girl's Hawaii 1 (16-inch) - 2015/2016</v>
      </c>
      <c r="I2788" s="1">
        <f t="shared" si="87"/>
        <v>539.78</v>
      </c>
    </row>
    <row r="2789" spans="1:9" x14ac:dyDescent="0.2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 s="1">
        <f t="shared" si="86"/>
        <v>941.78</v>
      </c>
      <c r="H2789" s="1" t="str">
        <f>_xlfn.XLOOKUP(C2789,Product!A:A,Product!B:B,"not found",0)</f>
        <v>Sun Bicycles Drifter 7 - 2017</v>
      </c>
      <c r="I2789" s="1">
        <f t="shared" si="87"/>
        <v>941.78</v>
      </c>
    </row>
    <row r="2790" spans="1:9" x14ac:dyDescent="0.2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 s="1">
        <f t="shared" si="86"/>
        <v>1199.8800000000001</v>
      </c>
      <c r="H2790" s="1" t="str">
        <f>_xlfn.XLOOKUP(C2790,Product!A:A,Product!B:B,"not found",0)</f>
        <v>Electra Townie Original 7D EQ - 2016</v>
      </c>
      <c r="I2790" s="1">
        <f t="shared" si="87"/>
        <v>1199.8800000000001</v>
      </c>
    </row>
    <row r="2791" spans="1:9" x14ac:dyDescent="0.2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 s="1">
        <f t="shared" si="86"/>
        <v>1499.92</v>
      </c>
      <c r="H2791" s="1" t="str">
        <f>_xlfn.XLOOKUP(C2791,Product!A:A,Product!B:B,"not found",0)</f>
        <v>Trek Stache 5 - 2017</v>
      </c>
      <c r="I2791" s="1">
        <f t="shared" si="87"/>
        <v>1499.92</v>
      </c>
    </row>
    <row r="2792" spans="1:9" x14ac:dyDescent="0.2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 s="1">
        <f t="shared" si="86"/>
        <v>1751.88</v>
      </c>
      <c r="H2792" s="1" t="str">
        <f>_xlfn.XLOOKUP(C2792,Product!A:A,Product!B:B,"not found",0)</f>
        <v>Surly Steamroller - 2017</v>
      </c>
      <c r="I2792" s="1">
        <f t="shared" si="87"/>
        <v>1751.88</v>
      </c>
    </row>
    <row r="2793" spans="1:9" x14ac:dyDescent="0.2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 s="1">
        <f t="shared" si="86"/>
        <v>833.93000000000006</v>
      </c>
      <c r="H2793" s="1" t="str">
        <f>_xlfn.XLOOKUP(C2793,Product!A:A,Product!B:B,"not found",0)</f>
        <v>Sun Bicycles Cruz 7 - 2017</v>
      </c>
      <c r="I2793" s="1">
        <f t="shared" si="87"/>
        <v>833.93000000000006</v>
      </c>
    </row>
    <row r="2794" spans="1:9" x14ac:dyDescent="0.2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 s="1">
        <f t="shared" si="86"/>
        <v>999.94</v>
      </c>
      <c r="H2794" s="1" t="str">
        <f>_xlfn.XLOOKUP(C2794,Product!A:A,Product!B:B,"not found",0)</f>
        <v>Surly Big Dummy Frameset - 2017</v>
      </c>
      <c r="I2794" s="1">
        <f t="shared" si="87"/>
        <v>999.94</v>
      </c>
    </row>
    <row r="2795" spans="1:9" x14ac:dyDescent="0.2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 s="1">
        <f t="shared" si="86"/>
        <v>1523.93</v>
      </c>
      <c r="H2795" s="1" t="str">
        <f>_xlfn.XLOOKUP(C2795,Product!A:A,Product!B:B,"not found",0)</f>
        <v>Sun Bicycles Brickell Tandem CB - 2017</v>
      </c>
      <c r="I2795" s="1">
        <f t="shared" si="87"/>
        <v>1523.93</v>
      </c>
    </row>
    <row r="2796" spans="1:9" x14ac:dyDescent="0.2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 s="1">
        <f t="shared" si="86"/>
        <v>899.93000000000006</v>
      </c>
      <c r="H2796" s="1" t="str">
        <f>_xlfn.XLOOKUP(C2796,Product!A:A,Product!B:B,"not found",0)</f>
        <v>Sun Bicycles Cruz 3 - 2017</v>
      </c>
      <c r="I2796" s="1">
        <f t="shared" si="87"/>
        <v>899.93000000000006</v>
      </c>
    </row>
    <row r="2797" spans="1:9" x14ac:dyDescent="0.2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 s="1">
        <f t="shared" si="86"/>
        <v>999.78</v>
      </c>
      <c r="H2797" s="1" t="str">
        <f>_xlfn.XLOOKUP(C2797,Product!A:A,Product!B:B,"not found",0)</f>
        <v>Electra Townie Original 7D - 2015/2016</v>
      </c>
      <c r="I2797" s="1">
        <f t="shared" si="87"/>
        <v>999.78</v>
      </c>
    </row>
    <row r="2798" spans="1:9" x14ac:dyDescent="0.2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 s="1">
        <f t="shared" si="86"/>
        <v>899.93000000000006</v>
      </c>
      <c r="H2798" s="1" t="str">
        <f>_xlfn.XLOOKUP(C2798,Product!A:A,Product!B:B,"not found",0)</f>
        <v>Sun Bicycles Cruz 3 - Women's - 2017</v>
      </c>
      <c r="I2798" s="1">
        <f t="shared" si="87"/>
        <v>899.93000000000006</v>
      </c>
    </row>
    <row r="2799" spans="1:9" x14ac:dyDescent="0.2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 s="1">
        <f t="shared" si="86"/>
        <v>2699.9399999999996</v>
      </c>
      <c r="H2799" s="1" t="str">
        <f>_xlfn.XLOOKUP(C2799,Product!A:A,Product!B:B,"not found",0)</f>
        <v>Trek Domane S 6 - 2017</v>
      </c>
      <c r="I2799" s="1">
        <f t="shared" si="87"/>
        <v>2699.9399999999996</v>
      </c>
    </row>
    <row r="2800" spans="1:9" x14ac:dyDescent="0.2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 s="1">
        <f t="shared" si="86"/>
        <v>833.78</v>
      </c>
      <c r="H2800" s="1" t="str">
        <f>_xlfn.XLOOKUP(C2800,Product!A:A,Product!B:B,"not found",0)</f>
        <v>Sun Bicycles Atlas X-Type - 2017</v>
      </c>
      <c r="I2800" s="1">
        <f t="shared" si="87"/>
        <v>833.78</v>
      </c>
    </row>
    <row r="2801" spans="1:9" x14ac:dyDescent="0.2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 s="1">
        <f t="shared" si="86"/>
        <v>1099.8800000000001</v>
      </c>
      <c r="H2801" s="1" t="str">
        <f>_xlfn.XLOOKUP(C2801,Product!A:A,Product!B:B,"not found",0)</f>
        <v>Electra Townie Original 21D - 2016</v>
      </c>
      <c r="I2801" s="1">
        <f t="shared" si="87"/>
        <v>1099.8800000000001</v>
      </c>
    </row>
    <row r="2802" spans="1:9" x14ac:dyDescent="0.2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 s="1">
        <f t="shared" si="86"/>
        <v>875.79</v>
      </c>
      <c r="H2802" s="1" t="str">
        <f>_xlfn.XLOOKUP(C2802,Product!A:A,Product!B:B,"not found",0)</f>
        <v>Surly Steamroller - 2017</v>
      </c>
      <c r="I2802" s="1">
        <f t="shared" si="87"/>
        <v>875.79</v>
      </c>
    </row>
    <row r="2803" spans="1:9" x14ac:dyDescent="0.2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 s="1">
        <f t="shared" si="86"/>
        <v>6999.78</v>
      </c>
      <c r="H2803" s="1" t="str">
        <f>_xlfn.XLOOKUP(C2803,Product!A:A,Product!B:B,"not found",0)</f>
        <v>Trek Domane SL 6 - 2017</v>
      </c>
      <c r="I2803" s="1">
        <f t="shared" si="87"/>
        <v>6999.78</v>
      </c>
    </row>
    <row r="2804" spans="1:9" x14ac:dyDescent="0.2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 s="1">
        <f t="shared" si="86"/>
        <v>2999.89</v>
      </c>
      <c r="H2804" s="1" t="str">
        <f>_xlfn.XLOOKUP(C2804,Product!A:A,Product!B:B,"not found",0)</f>
        <v>Trek Conduit+ - 2016</v>
      </c>
      <c r="I2804" s="1">
        <f t="shared" si="87"/>
        <v>2999.89</v>
      </c>
    </row>
    <row r="2805" spans="1:9" x14ac:dyDescent="0.2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 s="1">
        <f t="shared" si="86"/>
        <v>489.89</v>
      </c>
      <c r="H2805" s="1" t="str">
        <f>_xlfn.XLOOKUP(C2805,Product!A:A,Product!B:B,"not found",0)</f>
        <v>Electra Townie Original 7D - 2017</v>
      </c>
      <c r="I2805" s="1">
        <f t="shared" si="87"/>
        <v>489.89</v>
      </c>
    </row>
    <row r="2806" spans="1:9" x14ac:dyDescent="0.2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 s="1">
        <f t="shared" si="86"/>
        <v>832.89</v>
      </c>
      <c r="H2806" s="1" t="str">
        <f>_xlfn.XLOOKUP(C2806,Product!A:A,Product!B:B,"not found",0)</f>
        <v>Sun Bicycles Spider 3i - 2017</v>
      </c>
      <c r="I2806" s="1">
        <f t="shared" si="87"/>
        <v>832.89</v>
      </c>
    </row>
    <row r="2807" spans="1:9" x14ac:dyDescent="0.2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 s="1">
        <f t="shared" si="86"/>
        <v>599.93000000000006</v>
      </c>
      <c r="H2807" s="1" t="str">
        <f>_xlfn.XLOOKUP(C2807,Product!A:A,Product!B:B,"not found",0)</f>
        <v>Electra Girl's Hawaii 1 16" - 2017</v>
      </c>
      <c r="I2807" s="1">
        <f t="shared" si="87"/>
        <v>599.93000000000006</v>
      </c>
    </row>
    <row r="2808" spans="1:9" x14ac:dyDescent="0.2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 s="1">
        <f t="shared" si="86"/>
        <v>539.91</v>
      </c>
      <c r="H2808" s="1" t="str">
        <f>_xlfn.XLOOKUP(C2808,Product!A:A,Product!B:B,"not found",0)</f>
        <v>Electra Cruiser 1 (24-Inch) - 2016</v>
      </c>
      <c r="I2808" s="1">
        <f t="shared" si="87"/>
        <v>539.91</v>
      </c>
    </row>
    <row r="2809" spans="1:9" x14ac:dyDescent="0.2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 s="1">
        <f t="shared" si="86"/>
        <v>1665.88</v>
      </c>
      <c r="H2809" s="1" t="str">
        <f>_xlfn.XLOOKUP(C2809,Product!A:A,Product!B:B,"not found",0)</f>
        <v>Surly Troll Frameset - 2017</v>
      </c>
      <c r="I2809" s="1">
        <f t="shared" si="87"/>
        <v>1665.88</v>
      </c>
    </row>
    <row r="2810" spans="1:9" x14ac:dyDescent="0.2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 s="1">
        <f t="shared" si="86"/>
        <v>4999.92</v>
      </c>
      <c r="H2810" s="1" t="str">
        <f>_xlfn.XLOOKUP(C2810,Product!A:A,Product!B:B,"not found",0)</f>
        <v>Trek Powerfly 8 FS Plus - 2017</v>
      </c>
      <c r="I2810" s="1">
        <f t="shared" si="87"/>
        <v>4999.92</v>
      </c>
    </row>
    <row r="2811" spans="1:9" x14ac:dyDescent="0.2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 s="1">
        <f t="shared" si="86"/>
        <v>539.88</v>
      </c>
      <c r="H2811" s="1" t="str">
        <f>_xlfn.XLOOKUP(C2811,Product!A:A,Product!B:B,"not found",0)</f>
        <v>Electra Girl's Hawaii 1 (16-inch) - 2015/2016</v>
      </c>
      <c r="I2811" s="1">
        <f t="shared" si="87"/>
        <v>539.88</v>
      </c>
    </row>
    <row r="2812" spans="1:9" x14ac:dyDescent="0.2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 s="1">
        <f t="shared" si="86"/>
        <v>470.92</v>
      </c>
      <c r="H2812" s="1" t="str">
        <f>_xlfn.XLOOKUP(C2812,Product!A:A,Product!B:B,"not found",0)</f>
        <v>Sun Bicycles Drifter 7 - 2017</v>
      </c>
      <c r="I2812" s="1">
        <f t="shared" si="87"/>
        <v>470.92</v>
      </c>
    </row>
    <row r="2813" spans="1:9" x14ac:dyDescent="0.2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 s="1">
        <f t="shared" si="86"/>
        <v>875.92</v>
      </c>
      <c r="H2813" s="1" t="str">
        <f>_xlfn.XLOOKUP(C2813,Product!A:A,Product!B:B,"not found",0)</f>
        <v>Surly Steamroller - 2017</v>
      </c>
      <c r="I2813" s="1">
        <f t="shared" si="87"/>
        <v>875.92</v>
      </c>
    </row>
    <row r="2814" spans="1:9" x14ac:dyDescent="0.2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 s="1">
        <f t="shared" si="86"/>
        <v>9999.93</v>
      </c>
      <c r="H2814" s="1" t="str">
        <f>_xlfn.XLOOKUP(C2814,Product!A:A,Product!B:B,"not found",0)</f>
        <v>Trek Fuel EX 9.8 29 - 2017</v>
      </c>
      <c r="I2814" s="1">
        <f t="shared" si="87"/>
        <v>9999.93</v>
      </c>
    </row>
    <row r="2815" spans="1:9" x14ac:dyDescent="0.2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 s="1">
        <f t="shared" si="86"/>
        <v>3499.89</v>
      </c>
      <c r="H2815" s="1" t="str">
        <f>_xlfn.XLOOKUP(C2815,Product!A:A,Product!B:B,"not found",0)</f>
        <v>Trek Boone Race Shop Limited - 2017</v>
      </c>
      <c r="I2815" s="1">
        <f t="shared" si="87"/>
        <v>3499.89</v>
      </c>
    </row>
    <row r="2816" spans="1:9" x14ac:dyDescent="0.2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 s="1">
        <f t="shared" si="86"/>
        <v>1199.78</v>
      </c>
      <c r="H2816" s="1" t="str">
        <f>_xlfn.XLOOKUP(C2816,Product!A:A,Product!B:B,"not found",0)</f>
        <v>Electra Townie Original 7D EQ - Women's - 2016</v>
      </c>
      <c r="I2816" s="1">
        <f t="shared" si="87"/>
        <v>1199.78</v>
      </c>
    </row>
    <row r="2817" spans="1:9" x14ac:dyDescent="0.2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 s="1">
        <f t="shared" si="86"/>
        <v>449.92</v>
      </c>
      <c r="H2817" s="1" t="str">
        <f>_xlfn.XLOOKUP(C2817,Product!A:A,Product!B:B,"not found",0)</f>
        <v>Sun Bicycles Cruz 3 - 2017</v>
      </c>
      <c r="I2817" s="1">
        <f t="shared" si="87"/>
        <v>449.92</v>
      </c>
    </row>
    <row r="2818" spans="1:9" x14ac:dyDescent="0.2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 s="1">
        <f t="shared" si="86"/>
        <v>2199.91</v>
      </c>
      <c r="H2818" s="1" t="str">
        <f>_xlfn.XLOOKUP(C2818,Product!A:A,Product!B:B,"not found",0)</f>
        <v>Electra Amsterdam Fashion 7i Ladies' - 2017</v>
      </c>
      <c r="I2818" s="1">
        <f t="shared" si="87"/>
        <v>2199.91</v>
      </c>
    </row>
    <row r="2819" spans="1:9" x14ac:dyDescent="0.2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 s="1">
        <f t="shared" ref="G2819:G2882" si="88">(E2819*D2819)-F2819</f>
        <v>189.94</v>
      </c>
      <c r="H2819" s="1" t="str">
        <f>_xlfn.XLOOKUP(C2819,Product!A:A,Product!B:B,"not found",0)</f>
        <v>Trek Precaliber 12 Girls - 2017</v>
      </c>
      <c r="I2819" s="1">
        <f t="shared" ref="I2819:I2882" si="89">(D2819*E2819)-F2819</f>
        <v>189.94</v>
      </c>
    </row>
    <row r="2820" spans="1:9" x14ac:dyDescent="0.2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 s="1">
        <f t="shared" si="88"/>
        <v>449.79</v>
      </c>
      <c r="H2820" s="1" t="str">
        <f>_xlfn.XLOOKUP(C2820,Product!A:A,Product!B:B,"not found",0)</f>
        <v>Sun Bicycles Cruz 3 - 2017</v>
      </c>
      <c r="I2820" s="1">
        <f t="shared" si="89"/>
        <v>449.79</v>
      </c>
    </row>
    <row r="2821" spans="1:9" x14ac:dyDescent="0.2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 s="1">
        <f t="shared" si="88"/>
        <v>2199.7800000000002</v>
      </c>
      <c r="H2821" s="1" t="str">
        <f>_xlfn.XLOOKUP(C2821,Product!A:A,Product!B:B,"not found",0)</f>
        <v>Electra Amsterdam Fashion 7i Ladies' - 2017</v>
      </c>
      <c r="I2821" s="1">
        <f t="shared" si="89"/>
        <v>2199.7800000000002</v>
      </c>
    </row>
    <row r="2822" spans="1:9" x14ac:dyDescent="0.2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 s="1">
        <f t="shared" si="88"/>
        <v>549.89</v>
      </c>
      <c r="H2822" s="1" t="str">
        <f>_xlfn.XLOOKUP(C2822,Product!A:A,Product!B:B,"not found",0)</f>
        <v>Electra Townie Original 21D - 2016</v>
      </c>
      <c r="I2822" s="1">
        <f t="shared" si="89"/>
        <v>549.89</v>
      </c>
    </row>
    <row r="2823" spans="1:9" x14ac:dyDescent="0.2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 s="1">
        <f t="shared" si="88"/>
        <v>470.79</v>
      </c>
      <c r="H2823" s="1" t="str">
        <f>_xlfn.XLOOKUP(C2823,Product!A:A,Product!B:B,"not found",0)</f>
        <v>Sun Bicycles Drifter 7 - Women's - 2017</v>
      </c>
      <c r="I2823" s="1">
        <f t="shared" si="89"/>
        <v>470.79</v>
      </c>
    </row>
    <row r="2824" spans="1:9" x14ac:dyDescent="0.2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 s="1">
        <f t="shared" si="88"/>
        <v>2641.91</v>
      </c>
      <c r="H2824" s="1" t="str">
        <f>_xlfn.XLOOKUP(C2824,Product!A:A,Product!B:B,"not found",0)</f>
        <v>Heller Shagamaw Frame - 2016</v>
      </c>
      <c r="I2824" s="1">
        <f t="shared" si="89"/>
        <v>2641.91</v>
      </c>
    </row>
    <row r="2825" spans="1:9" x14ac:dyDescent="0.2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 s="1">
        <f t="shared" si="88"/>
        <v>2599.79</v>
      </c>
      <c r="H2825" s="1" t="str">
        <f>_xlfn.XLOOKUP(C2825,Product!A:A,Product!B:B,"not found",0)</f>
        <v>Trek Domane S 5 Disc - 2017</v>
      </c>
      <c r="I2825" s="1">
        <f t="shared" si="89"/>
        <v>2599.79</v>
      </c>
    </row>
    <row r="2826" spans="1:9" x14ac:dyDescent="0.2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 s="1">
        <f t="shared" si="88"/>
        <v>1295.93</v>
      </c>
      <c r="H2826" s="1" t="str">
        <f>_xlfn.XLOOKUP(C2826,Product!A:A,Product!B:B,"not found",0)</f>
        <v>Sun Bicycles Biscayne Tandem CB - 2017</v>
      </c>
      <c r="I2826" s="1">
        <f t="shared" si="89"/>
        <v>1295.93</v>
      </c>
    </row>
    <row r="2827" spans="1:9" x14ac:dyDescent="0.2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 s="1">
        <f t="shared" si="88"/>
        <v>189.89000000000001</v>
      </c>
      <c r="H2827" s="1" t="str">
        <f>_xlfn.XLOOKUP(C2827,Product!A:A,Product!B:B,"not found",0)</f>
        <v>Trek Precaliber 12 Boys - 2017</v>
      </c>
      <c r="I2827" s="1">
        <f t="shared" si="89"/>
        <v>189.89000000000001</v>
      </c>
    </row>
    <row r="2828" spans="1:9" x14ac:dyDescent="0.2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 s="1">
        <f t="shared" si="88"/>
        <v>647.94000000000005</v>
      </c>
      <c r="H2828" s="1" t="str">
        <f>_xlfn.XLOOKUP(C2828,Product!A:A,Product!B:B,"not found",0)</f>
        <v>Sun Bicycles Biscayne Tandem CB - 2017</v>
      </c>
      <c r="I2828" s="1">
        <f t="shared" si="89"/>
        <v>647.94000000000005</v>
      </c>
    </row>
    <row r="2829" spans="1:9" x14ac:dyDescent="0.2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 s="1">
        <f t="shared" si="88"/>
        <v>1199.9100000000001</v>
      </c>
      <c r="H2829" s="1" t="str">
        <f>_xlfn.XLOOKUP(C2829,Product!A:A,Product!B:B,"not found",0)</f>
        <v>Electra Townie Original 7D EQ - 2016</v>
      </c>
      <c r="I2829" s="1">
        <f t="shared" si="89"/>
        <v>1199.9100000000001</v>
      </c>
    </row>
    <row r="2830" spans="1:9" x14ac:dyDescent="0.2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 s="1">
        <f t="shared" si="88"/>
        <v>12999.88</v>
      </c>
      <c r="H2830" s="1" t="str">
        <f>_xlfn.XLOOKUP(C2830,Product!A:A,Product!B:B,"not found",0)</f>
        <v>Trek Silque SLR 8 Women's - 2017</v>
      </c>
      <c r="I2830" s="1">
        <f t="shared" si="89"/>
        <v>12999.88</v>
      </c>
    </row>
    <row r="2831" spans="1:9" x14ac:dyDescent="0.2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 s="1">
        <f t="shared" si="88"/>
        <v>3119.78</v>
      </c>
      <c r="H2831" s="1" t="str">
        <f>_xlfn.XLOOKUP(C2831,Product!A:A,Product!B:B,"not found",0)</f>
        <v>Sun Bicycles ElectroLite - 2017</v>
      </c>
      <c r="I2831" s="1">
        <f t="shared" si="89"/>
        <v>3119.78</v>
      </c>
    </row>
    <row r="2832" spans="1:9" x14ac:dyDescent="0.2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 s="1">
        <f t="shared" si="88"/>
        <v>761.92</v>
      </c>
      <c r="H2832" s="1" t="str">
        <f>_xlfn.XLOOKUP(C2832,Product!A:A,Product!B:B,"not found",0)</f>
        <v>Sun Bicycles Brickell Tandem CB - 2017</v>
      </c>
      <c r="I2832" s="1">
        <f t="shared" si="89"/>
        <v>761.92</v>
      </c>
    </row>
    <row r="2833" spans="1:9" x14ac:dyDescent="0.2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 s="1">
        <f t="shared" si="88"/>
        <v>832.79</v>
      </c>
      <c r="H2833" s="1" t="str">
        <f>_xlfn.XLOOKUP(C2833,Product!A:A,Product!B:B,"not found",0)</f>
        <v>Sun Bicycles Spider 3i - 2017</v>
      </c>
      <c r="I2833" s="1">
        <f t="shared" si="89"/>
        <v>832.79</v>
      </c>
    </row>
    <row r="2834" spans="1:9" x14ac:dyDescent="0.2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 s="1">
        <f t="shared" si="88"/>
        <v>549.91999999999996</v>
      </c>
      <c r="H2834" s="1" t="str">
        <f>_xlfn.XLOOKUP(C2834,Product!A:A,Product!B:B,"not found",0)</f>
        <v>Haro Flightline Two 26 Plus - 2017</v>
      </c>
      <c r="I2834" s="1">
        <f t="shared" si="89"/>
        <v>549.91999999999996</v>
      </c>
    </row>
    <row r="2835" spans="1:9" x14ac:dyDescent="0.2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 s="1">
        <f t="shared" si="88"/>
        <v>1099.9100000000001</v>
      </c>
      <c r="H2835" s="1" t="str">
        <f>_xlfn.XLOOKUP(C2835,Product!A:A,Product!B:B,"not found",0)</f>
        <v>Electra Townie Original 21D - 2016</v>
      </c>
      <c r="I2835" s="1">
        <f t="shared" si="89"/>
        <v>1099.9100000000001</v>
      </c>
    </row>
    <row r="2836" spans="1:9" x14ac:dyDescent="0.2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 s="1">
        <f t="shared" si="88"/>
        <v>299.94</v>
      </c>
      <c r="H2836" s="1" t="str">
        <f>_xlfn.XLOOKUP(C2836,Product!A:A,Product!B:B,"not found",0)</f>
        <v>Electra Sugar Skulls 1 (20-inch) - Girl's - 2017</v>
      </c>
      <c r="I2836" s="1">
        <f t="shared" si="89"/>
        <v>299.94</v>
      </c>
    </row>
    <row r="2837" spans="1:9" x14ac:dyDescent="0.2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 s="1">
        <f t="shared" si="88"/>
        <v>999.89</v>
      </c>
      <c r="H2837" s="1" t="str">
        <f>_xlfn.XLOOKUP(C2837,Product!A:A,Product!B:B,"not found",0)</f>
        <v>Surly Big Dummy Frameset - 2017</v>
      </c>
      <c r="I2837" s="1">
        <f t="shared" si="89"/>
        <v>999.89</v>
      </c>
    </row>
    <row r="2838" spans="1:9" x14ac:dyDescent="0.2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 s="1">
        <f t="shared" si="88"/>
        <v>659.89</v>
      </c>
      <c r="H2838" s="1" t="str">
        <f>_xlfn.XLOOKUP(C2838,Product!A:A,Product!B:B,"not found",0)</f>
        <v>Electra Amsterdam Original 3i - 2015/2017</v>
      </c>
      <c r="I2838" s="1">
        <f t="shared" si="89"/>
        <v>659.89</v>
      </c>
    </row>
    <row r="2839" spans="1:9" x14ac:dyDescent="0.2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 s="1">
        <f t="shared" si="88"/>
        <v>219.91</v>
      </c>
      <c r="H2839" s="1" t="str">
        <f>_xlfn.XLOOKUP(C2839,Product!A:A,Product!B:B,"not found",0)</f>
        <v>Sun Bicycles Lil Kitt'n - 2017</v>
      </c>
      <c r="I2839" s="1">
        <f t="shared" si="89"/>
        <v>219.91</v>
      </c>
    </row>
    <row r="2840" spans="1:9" x14ac:dyDescent="0.2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 s="1">
        <f t="shared" si="88"/>
        <v>1320.89</v>
      </c>
      <c r="H2840" s="1" t="str">
        <f>_xlfn.XLOOKUP(C2840,Product!A:A,Product!B:B,"not found",0)</f>
        <v>Heller Shagamaw Frame - 2016</v>
      </c>
      <c r="I2840" s="1">
        <f t="shared" si="89"/>
        <v>1320.89</v>
      </c>
    </row>
    <row r="2841" spans="1:9" x14ac:dyDescent="0.2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 s="1">
        <f t="shared" si="88"/>
        <v>939.78</v>
      </c>
      <c r="H2841" s="1" t="str">
        <f>_xlfn.XLOOKUP(C2841,Product!A:A,Product!B:B,"not found",0)</f>
        <v>Surly Ice Cream Truck Frameset - 2016</v>
      </c>
      <c r="I2841" s="1">
        <f t="shared" si="89"/>
        <v>939.78</v>
      </c>
    </row>
    <row r="2842" spans="1:9" x14ac:dyDescent="0.2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 s="1">
        <f t="shared" si="88"/>
        <v>999.89</v>
      </c>
      <c r="H2842" s="1" t="str">
        <f>_xlfn.XLOOKUP(C2842,Product!A:A,Product!B:B,"not found",0)</f>
        <v>Trek X-Caliber 8 - 2017</v>
      </c>
      <c r="I2842" s="1">
        <f t="shared" si="89"/>
        <v>999.89</v>
      </c>
    </row>
    <row r="2843" spans="1:9" x14ac:dyDescent="0.2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 s="1">
        <f t="shared" si="88"/>
        <v>349.89</v>
      </c>
      <c r="H2843" s="1" t="str">
        <f>_xlfn.XLOOKUP(C2843,Product!A:A,Product!B:B,"not found",0)</f>
        <v>Trek Precaliber 24 (21-Speed) - Girls - 2017</v>
      </c>
      <c r="I2843" s="1">
        <f t="shared" si="89"/>
        <v>349.89</v>
      </c>
    </row>
    <row r="2844" spans="1:9" x14ac:dyDescent="0.2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 s="1">
        <f t="shared" si="88"/>
        <v>539.88</v>
      </c>
      <c r="H2844" s="1" t="str">
        <f>_xlfn.XLOOKUP(C2844,Product!A:A,Product!B:B,"not found",0)</f>
        <v>Electra Girl's Hawaii 1 (16-inch) - 2015/2016</v>
      </c>
      <c r="I2844" s="1">
        <f t="shared" si="89"/>
        <v>539.88</v>
      </c>
    </row>
    <row r="2845" spans="1:9" x14ac:dyDescent="0.2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 s="1">
        <f t="shared" si="88"/>
        <v>5999.78</v>
      </c>
      <c r="H2845" s="1" t="str">
        <f>_xlfn.XLOOKUP(C2845,Product!A:A,Product!B:B,"not found",0)</f>
        <v>Trek Conduit+ - 2016</v>
      </c>
      <c r="I2845" s="1">
        <f t="shared" si="89"/>
        <v>5999.78</v>
      </c>
    </row>
    <row r="2846" spans="1:9" x14ac:dyDescent="0.2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 s="1">
        <f t="shared" si="88"/>
        <v>402.79</v>
      </c>
      <c r="H2846" s="1" t="str">
        <f>_xlfn.XLOOKUP(C2846,Product!A:A,Product!B:B,"not found",0)</f>
        <v>Sun Bicycles Boardwalk (24-inch Wheels) - 2017</v>
      </c>
      <c r="I2846" s="1">
        <f t="shared" si="89"/>
        <v>402.79</v>
      </c>
    </row>
    <row r="2847" spans="1:9" x14ac:dyDescent="0.2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 s="1">
        <f t="shared" si="88"/>
        <v>469.79</v>
      </c>
      <c r="H2847" s="1" t="str">
        <f>_xlfn.XLOOKUP(C2847,Product!A:A,Product!B:B,"not found",0)</f>
        <v>Trek Session DH 27.5 Carbon Frameset - 2017</v>
      </c>
      <c r="I2847" s="1">
        <f t="shared" si="89"/>
        <v>469.79</v>
      </c>
    </row>
    <row r="2848" spans="1:9" x14ac:dyDescent="0.2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 s="1">
        <f t="shared" si="88"/>
        <v>869.92</v>
      </c>
      <c r="H2848" s="1" t="str">
        <f>_xlfn.XLOOKUP(C2848,Product!A:A,Product!B:B,"not found",0)</f>
        <v>Haro SR 1.2 - 2017</v>
      </c>
      <c r="I2848" s="1">
        <f t="shared" si="89"/>
        <v>869.92</v>
      </c>
    </row>
    <row r="2849" spans="1:9" x14ac:dyDescent="0.2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 s="1">
        <f t="shared" si="88"/>
        <v>489.89</v>
      </c>
      <c r="H2849" s="1" t="str">
        <f>_xlfn.XLOOKUP(C2849,Product!A:A,Product!B:B,"not found",0)</f>
        <v>Electra Townie Original 7D - 2017</v>
      </c>
      <c r="I2849" s="1">
        <f t="shared" si="89"/>
        <v>489.89</v>
      </c>
    </row>
    <row r="2850" spans="1:9" x14ac:dyDescent="0.2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 s="1">
        <f t="shared" si="88"/>
        <v>599.79</v>
      </c>
      <c r="H2850" s="1" t="str">
        <f>_xlfn.XLOOKUP(C2850,Product!A:A,Product!B:B,"not found",0)</f>
        <v>Electra Townie Original 7D EQ - Women's - 2016</v>
      </c>
      <c r="I2850" s="1">
        <f t="shared" si="89"/>
        <v>599.79</v>
      </c>
    </row>
    <row r="2851" spans="1:9" x14ac:dyDescent="0.2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 s="1">
        <f t="shared" si="88"/>
        <v>679.78</v>
      </c>
      <c r="H2851" s="1" t="str">
        <f>_xlfn.XLOOKUP(C2851,Product!A:A,Product!B:B,"not found",0)</f>
        <v>Electra Townie 7D (20-inch) - Boys' - 2017</v>
      </c>
      <c r="I2851" s="1">
        <f t="shared" si="89"/>
        <v>679.78</v>
      </c>
    </row>
    <row r="2852" spans="1:9" x14ac:dyDescent="0.2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 s="1">
        <f t="shared" si="88"/>
        <v>3999.9399999999996</v>
      </c>
      <c r="H2852" s="1" t="str">
        <f>_xlfn.XLOOKUP(C2852,Product!A:A,Product!B:B,"not found",0)</f>
        <v>Trek Slash 8 27.5 - 2016</v>
      </c>
      <c r="I2852" s="1">
        <f t="shared" si="89"/>
        <v>3999.9399999999996</v>
      </c>
    </row>
    <row r="2853" spans="1:9" x14ac:dyDescent="0.2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 s="1">
        <f t="shared" si="88"/>
        <v>4999.79</v>
      </c>
      <c r="H2853" s="1" t="str">
        <f>_xlfn.XLOOKUP(C2853,Product!A:A,Product!B:B,"not found",0)</f>
        <v>Trek Madone 9.2 - 2017</v>
      </c>
      <c r="I2853" s="1">
        <f t="shared" si="89"/>
        <v>4999.79</v>
      </c>
    </row>
    <row r="2854" spans="1:9" x14ac:dyDescent="0.2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 s="1">
        <f t="shared" si="88"/>
        <v>1665.88</v>
      </c>
      <c r="H2854" s="1" t="str">
        <f>_xlfn.XLOOKUP(C2854,Product!A:A,Product!B:B,"not found",0)</f>
        <v>Surly Troll Frameset - 2017</v>
      </c>
      <c r="I2854" s="1">
        <f t="shared" si="89"/>
        <v>1665.88</v>
      </c>
    </row>
    <row r="2855" spans="1:9" x14ac:dyDescent="0.2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 s="1">
        <f t="shared" si="88"/>
        <v>3097.95</v>
      </c>
      <c r="H2855" s="1" t="str">
        <f>_xlfn.XLOOKUP(C2855,Product!A:A,Product!B:B,"not found",0)</f>
        <v>Surly Straggler - 2016</v>
      </c>
      <c r="I2855" s="1">
        <f t="shared" si="89"/>
        <v>3097.95</v>
      </c>
    </row>
    <row r="2856" spans="1:9" x14ac:dyDescent="0.2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 s="1">
        <f t="shared" si="88"/>
        <v>599.91</v>
      </c>
      <c r="H2856" s="1" t="str">
        <f>_xlfn.XLOOKUP(C2856,Product!A:A,Product!B:B,"not found",0)</f>
        <v>Electra Sugar Skulls 1 (20-inch) - Girl's - 2017</v>
      </c>
      <c r="I2856" s="1">
        <f t="shared" si="89"/>
        <v>599.91</v>
      </c>
    </row>
    <row r="2857" spans="1:9" x14ac:dyDescent="0.2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 s="1">
        <f t="shared" si="88"/>
        <v>805.88</v>
      </c>
      <c r="H2857" s="1" t="str">
        <f>_xlfn.XLOOKUP(C2857,Product!A:A,Product!B:B,"not found",0)</f>
        <v>Sun Bicycles Boardwalk (24-inch Wheels) - 2017</v>
      </c>
      <c r="I2857" s="1">
        <f t="shared" si="89"/>
        <v>805.88</v>
      </c>
    </row>
    <row r="2858" spans="1:9" x14ac:dyDescent="0.2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 s="1">
        <f t="shared" si="88"/>
        <v>759.88</v>
      </c>
      <c r="H2858" s="1" t="str">
        <f>_xlfn.XLOOKUP(C2858,Product!A:A,Product!B:B,"not found",0)</f>
        <v>Haro Flightline One ST - 2017</v>
      </c>
      <c r="I2858" s="1">
        <f t="shared" si="89"/>
        <v>759.88</v>
      </c>
    </row>
    <row r="2859" spans="1:9" x14ac:dyDescent="0.2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 s="1">
        <f t="shared" si="88"/>
        <v>869.79</v>
      </c>
      <c r="H2859" s="1" t="str">
        <f>_xlfn.XLOOKUP(C2859,Product!A:A,Product!B:B,"not found",0)</f>
        <v>Haro SR 1.2 - 2017</v>
      </c>
      <c r="I2859" s="1">
        <f t="shared" si="89"/>
        <v>869.79</v>
      </c>
    </row>
    <row r="2860" spans="1:9" x14ac:dyDescent="0.2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 s="1">
        <f t="shared" si="88"/>
        <v>250.92000000000002</v>
      </c>
      <c r="H2860" s="1" t="str">
        <f>_xlfn.XLOOKUP(C2860,Product!A:A,Product!B:B,"not found",0)</f>
        <v>Sun Bicycles Revolutions 24 - 2017</v>
      </c>
      <c r="I2860" s="1">
        <f t="shared" si="89"/>
        <v>250.92000000000002</v>
      </c>
    </row>
    <row r="2861" spans="1:9" x14ac:dyDescent="0.2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 s="1">
        <f t="shared" si="88"/>
        <v>1199.8800000000001</v>
      </c>
      <c r="H2861" s="1" t="str">
        <f>_xlfn.XLOOKUP(C2861,Product!A:A,Product!B:B,"not found",0)</f>
        <v>Electra Townie Original 7D EQ - 2016</v>
      </c>
      <c r="I2861" s="1">
        <f t="shared" si="89"/>
        <v>1199.8800000000001</v>
      </c>
    </row>
    <row r="2862" spans="1:9" x14ac:dyDescent="0.2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 s="1">
        <f t="shared" si="88"/>
        <v>209.79000000000002</v>
      </c>
      <c r="H2862" s="1" t="str">
        <f>_xlfn.XLOOKUP(C2862,Product!A:A,Product!B:B,"not found",0)</f>
        <v>Trek Precaliber 16 Girls - 2017</v>
      </c>
      <c r="I2862" s="1">
        <f t="shared" si="89"/>
        <v>209.79000000000002</v>
      </c>
    </row>
    <row r="2863" spans="1:9" x14ac:dyDescent="0.2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 s="1">
        <f t="shared" si="88"/>
        <v>339.89</v>
      </c>
      <c r="H2863" s="1" t="str">
        <f>_xlfn.XLOOKUP(C2863,Product!A:A,Product!B:B,"not found",0)</f>
        <v>Electra Townie 7D (20-inch) - Boys' - 2017</v>
      </c>
      <c r="I2863" s="1">
        <f t="shared" si="89"/>
        <v>339.89</v>
      </c>
    </row>
    <row r="2864" spans="1:9" x14ac:dyDescent="0.2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 s="1">
        <f t="shared" si="88"/>
        <v>899.93000000000006</v>
      </c>
      <c r="H2864" s="1" t="str">
        <f>_xlfn.XLOOKUP(C2864,Product!A:A,Product!B:B,"not found",0)</f>
        <v>Sun Bicycles Cruz 3 - 2017</v>
      </c>
      <c r="I2864" s="1">
        <f t="shared" si="89"/>
        <v>899.93000000000006</v>
      </c>
    </row>
    <row r="2865" spans="1:9" x14ac:dyDescent="0.2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 s="1">
        <f t="shared" si="88"/>
        <v>469.94</v>
      </c>
      <c r="H2865" s="1" t="str">
        <f>_xlfn.XLOOKUP(C2865,Product!A:A,Product!B:B,"not found",0)</f>
        <v>Trek Farley Alloy Frameset - 2017</v>
      </c>
      <c r="I2865" s="1">
        <f t="shared" si="89"/>
        <v>469.94</v>
      </c>
    </row>
    <row r="2866" spans="1:9" x14ac:dyDescent="0.2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 s="1">
        <f t="shared" si="88"/>
        <v>299.91000000000003</v>
      </c>
      <c r="H2866" s="1" t="str">
        <f>_xlfn.XLOOKUP(C2866,Product!A:A,Product!B:B,"not found",0)</f>
        <v>Trek Girl's Kickster - 2017</v>
      </c>
      <c r="I2866" s="1">
        <f t="shared" si="89"/>
        <v>299.91000000000003</v>
      </c>
    </row>
    <row r="2867" spans="1:9" x14ac:dyDescent="0.2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 s="1">
        <f t="shared" si="88"/>
        <v>1067.78</v>
      </c>
      <c r="H2867" s="1" t="str">
        <f>_xlfn.XLOOKUP(C2867,Product!A:A,Product!B:B,"not found",0)</f>
        <v>Sun Bicycles Streamway 7 - 2017</v>
      </c>
      <c r="I2867" s="1">
        <f t="shared" si="89"/>
        <v>1067.78</v>
      </c>
    </row>
    <row r="2868" spans="1:9" x14ac:dyDescent="0.2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 s="1">
        <f t="shared" si="88"/>
        <v>539.91</v>
      </c>
      <c r="H2868" s="1" t="str">
        <f>_xlfn.XLOOKUP(C2868,Product!A:A,Product!B:B,"not found",0)</f>
        <v>Electra Girl's Hawaii 1 (16-inch) - 2015/2016</v>
      </c>
      <c r="I2868" s="1">
        <f t="shared" si="89"/>
        <v>539.91</v>
      </c>
    </row>
    <row r="2869" spans="1:9" x14ac:dyDescent="0.2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 s="1">
        <f t="shared" si="88"/>
        <v>1199.93</v>
      </c>
      <c r="H2869" s="1" t="str">
        <f>_xlfn.XLOOKUP(C2869,Product!A:A,Product!B:B,"not found",0)</f>
        <v>Electra Townie Original 7D EQ - 2016</v>
      </c>
      <c r="I2869" s="1">
        <f t="shared" si="89"/>
        <v>1199.93</v>
      </c>
    </row>
    <row r="2870" spans="1:9" x14ac:dyDescent="0.2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 s="1">
        <f t="shared" si="88"/>
        <v>533.79</v>
      </c>
      <c r="H2870" s="1" t="str">
        <f>_xlfn.XLOOKUP(C2870,Product!A:A,Product!B:B,"not found",0)</f>
        <v>Sun Bicycles Streamway 7 - 2017</v>
      </c>
      <c r="I2870" s="1">
        <f t="shared" si="89"/>
        <v>533.79</v>
      </c>
    </row>
    <row r="2871" spans="1:9" x14ac:dyDescent="0.2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 s="1">
        <f t="shared" si="88"/>
        <v>1319.91</v>
      </c>
      <c r="H2871" s="1" t="str">
        <f>_xlfn.XLOOKUP(C2871,Product!A:A,Product!B:B,"not found",0)</f>
        <v>Electra Amsterdam Original 3i - 2015/2017</v>
      </c>
      <c r="I2871" s="1">
        <f t="shared" si="89"/>
        <v>1319.91</v>
      </c>
    </row>
    <row r="2872" spans="1:9" x14ac:dyDescent="0.2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 s="1">
        <f t="shared" si="88"/>
        <v>449.94</v>
      </c>
      <c r="H2872" s="1" t="str">
        <f>_xlfn.XLOOKUP(C2872,Product!A:A,Product!B:B,"not found",0)</f>
        <v>Sun Bicycles Cruz 3 - 2017</v>
      </c>
      <c r="I2872" s="1">
        <f t="shared" si="89"/>
        <v>449.94</v>
      </c>
    </row>
    <row r="2873" spans="1:9" x14ac:dyDescent="0.2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 s="1">
        <f t="shared" si="88"/>
        <v>693.93000000000006</v>
      </c>
      <c r="H2873" s="1" t="str">
        <f>_xlfn.XLOOKUP(C2873,Product!A:A,Product!B:B,"not found",0)</f>
        <v>Sun Bicycles Lil Bolt Type-R - 2017</v>
      </c>
      <c r="I2873" s="1">
        <f t="shared" si="89"/>
        <v>693.93000000000006</v>
      </c>
    </row>
    <row r="2874" spans="1:9" x14ac:dyDescent="0.2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 s="1">
        <f t="shared" si="88"/>
        <v>470.89</v>
      </c>
      <c r="H2874" s="1" t="str">
        <f>_xlfn.XLOOKUP(C2874,Product!A:A,Product!B:B,"not found",0)</f>
        <v>Sun Bicycles Drifter 7 - Women's - 2017</v>
      </c>
      <c r="I2874" s="1">
        <f t="shared" si="89"/>
        <v>470.89</v>
      </c>
    </row>
    <row r="2875" spans="1:9" x14ac:dyDescent="0.2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 s="1">
        <f t="shared" si="88"/>
        <v>897.93</v>
      </c>
      <c r="H2875" s="1" t="str">
        <f>_xlfn.XLOOKUP(C2875,Product!A:A,Product!B:B,"not found",0)</f>
        <v>Pure Cycles William 3-Speed - 2016</v>
      </c>
      <c r="I2875" s="1">
        <f t="shared" si="89"/>
        <v>897.93</v>
      </c>
    </row>
    <row r="2876" spans="1:9" x14ac:dyDescent="0.2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 s="1">
        <f t="shared" si="88"/>
        <v>1999.93</v>
      </c>
      <c r="H2876" s="1" t="str">
        <f>_xlfn.XLOOKUP(C2876,Product!A:A,Product!B:B,"not found",0)</f>
        <v>Trek X-Caliber 8 - 2017</v>
      </c>
      <c r="I2876" s="1">
        <f t="shared" si="89"/>
        <v>1999.93</v>
      </c>
    </row>
    <row r="2877" spans="1:9" x14ac:dyDescent="0.2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 s="1">
        <f t="shared" si="88"/>
        <v>619.94000000000005</v>
      </c>
      <c r="H2877" s="1" t="str">
        <f>_xlfn.XLOOKUP(C2877,Product!A:A,Product!B:B,"not found",0)</f>
        <v>Sun Bicycles Biscayne Tandem 7 - 2017</v>
      </c>
      <c r="I2877" s="1">
        <f t="shared" si="89"/>
        <v>619.94000000000005</v>
      </c>
    </row>
    <row r="2878" spans="1:9" x14ac:dyDescent="0.2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 s="1">
        <f t="shared" si="88"/>
        <v>1739.93</v>
      </c>
      <c r="H2878" s="1" t="str">
        <f>_xlfn.XLOOKUP(C2878,Product!A:A,Product!B:B,"not found",0)</f>
        <v>Haro SR 1.2 - 2017</v>
      </c>
      <c r="I2878" s="1">
        <f t="shared" si="89"/>
        <v>1739.93</v>
      </c>
    </row>
    <row r="2879" spans="1:9" x14ac:dyDescent="0.2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 s="1">
        <f t="shared" si="88"/>
        <v>4999.8899999999994</v>
      </c>
      <c r="H2879" s="1" t="str">
        <f>_xlfn.XLOOKUP(C2879,Product!A:A,Product!B:B,"not found",0)</f>
        <v>Trek Madone 9.2 - 2017</v>
      </c>
      <c r="I2879" s="1">
        <f t="shared" si="89"/>
        <v>4999.8899999999994</v>
      </c>
    </row>
    <row r="2880" spans="1:9" x14ac:dyDescent="0.2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 s="1">
        <f t="shared" si="88"/>
        <v>470.92</v>
      </c>
      <c r="H2880" s="1" t="str">
        <f>_xlfn.XLOOKUP(C2880,Product!A:A,Product!B:B,"not found",0)</f>
        <v>Sun Bicycles Drifter 7 - Women's - 2017</v>
      </c>
      <c r="I2880" s="1">
        <f t="shared" si="89"/>
        <v>470.92</v>
      </c>
    </row>
    <row r="2881" spans="1:9" x14ac:dyDescent="0.2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 s="1">
        <f t="shared" si="88"/>
        <v>489.94</v>
      </c>
      <c r="H2881" s="1" t="str">
        <f>_xlfn.XLOOKUP(C2881,Product!A:A,Product!B:B,"not found",0)</f>
        <v>Electra Townie 3i EQ (20-inch) - Boys' - 2017</v>
      </c>
      <c r="I2881" s="1">
        <f t="shared" si="89"/>
        <v>489.94</v>
      </c>
    </row>
    <row r="2882" spans="1:9" x14ac:dyDescent="0.2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 s="1">
        <f t="shared" si="88"/>
        <v>149.89000000000001</v>
      </c>
      <c r="H2882" s="1" t="str">
        <f>_xlfn.XLOOKUP(C2882,Product!A:A,Product!B:B,"not found",0)</f>
        <v>Trek Boy's Kickster - 2015/2017</v>
      </c>
      <c r="I2882" s="1">
        <f t="shared" si="89"/>
        <v>149.89000000000001</v>
      </c>
    </row>
    <row r="2883" spans="1:9" x14ac:dyDescent="0.2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 s="1">
        <f t="shared" ref="G2883:G2946" si="90">(E2883*D2883)-F2883</f>
        <v>3599.88</v>
      </c>
      <c r="H2883" s="1" t="str">
        <f>_xlfn.XLOOKUP(C2883,Product!A:A,Product!B:B,"not found",0)</f>
        <v>Trek Remedy 29 Carbon Frameset - 2016</v>
      </c>
      <c r="I2883" s="1">
        <f t="shared" ref="I2883:I2946" si="91">(D2883*E2883)-F2883</f>
        <v>3599.88</v>
      </c>
    </row>
    <row r="2884" spans="1:9" x14ac:dyDescent="0.2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 s="1">
        <f t="shared" si="90"/>
        <v>402.79</v>
      </c>
      <c r="H2884" s="1" t="str">
        <f>_xlfn.XLOOKUP(C2884,Product!A:A,Product!B:B,"not found",0)</f>
        <v>Sun Bicycles Boardwalk (24-inch Wheels) - 2017</v>
      </c>
      <c r="I2884" s="1">
        <f t="shared" si="91"/>
        <v>402.79</v>
      </c>
    </row>
    <row r="2885" spans="1:9" x14ac:dyDescent="0.2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 s="1">
        <f t="shared" si="90"/>
        <v>939.93000000000006</v>
      </c>
      <c r="H2885" s="1" t="str">
        <f>_xlfn.XLOOKUP(C2885,Product!A:A,Product!B:B,"not found",0)</f>
        <v>Trek Session DH 27.5 Carbon Frameset - 2017</v>
      </c>
      <c r="I2885" s="1">
        <f t="shared" si="91"/>
        <v>939.93000000000006</v>
      </c>
    </row>
    <row r="2886" spans="1:9" x14ac:dyDescent="0.2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 s="1">
        <f t="shared" si="90"/>
        <v>12999.93</v>
      </c>
      <c r="H2886" s="1" t="str">
        <f>_xlfn.XLOOKUP(C2886,Product!A:A,Product!B:B,"not found",0)</f>
        <v>Trek Silque SLR 8 Women's - 2017</v>
      </c>
      <c r="I2886" s="1">
        <f t="shared" si="91"/>
        <v>12999.93</v>
      </c>
    </row>
    <row r="2887" spans="1:9" x14ac:dyDescent="0.2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 s="1">
        <f t="shared" si="90"/>
        <v>1665.88</v>
      </c>
      <c r="H2887" s="1" t="str">
        <f>_xlfn.XLOOKUP(C2887,Product!A:A,Product!B:B,"not found",0)</f>
        <v>Surly Troll Frameset - 2017</v>
      </c>
      <c r="I2887" s="1">
        <f t="shared" si="91"/>
        <v>1665.88</v>
      </c>
    </row>
    <row r="2888" spans="1:9" x14ac:dyDescent="0.2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 s="1">
        <f t="shared" si="90"/>
        <v>539.78</v>
      </c>
      <c r="H2888" s="1" t="str">
        <f>_xlfn.XLOOKUP(C2888,Product!A:A,Product!B:B,"not found",0)</f>
        <v>Electra Girl's Hawaii 1 (16-inch) - 2015/2016</v>
      </c>
      <c r="I2888" s="1">
        <f t="shared" si="91"/>
        <v>539.78</v>
      </c>
    </row>
    <row r="2889" spans="1:9" x14ac:dyDescent="0.2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 s="1">
        <f t="shared" si="90"/>
        <v>2199.88</v>
      </c>
      <c r="H2889" s="1" t="str">
        <f>_xlfn.XLOOKUP(C2889,Product!A:A,Product!B:B,"not found",0)</f>
        <v>Electra Amsterdam Fashion 7i Ladies' - 2017</v>
      </c>
      <c r="I2889" s="1">
        <f t="shared" si="91"/>
        <v>2199.88</v>
      </c>
    </row>
    <row r="2890" spans="1:9" x14ac:dyDescent="0.2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 s="1">
        <f t="shared" si="90"/>
        <v>299.89</v>
      </c>
      <c r="H2890" s="1" t="str">
        <f>_xlfn.XLOOKUP(C2890,Product!A:A,Product!B:B,"not found",0)</f>
        <v>Electra Sugar Skulls 1 (20-inch) - Girl's - 2017</v>
      </c>
      <c r="I2890" s="1">
        <f t="shared" si="91"/>
        <v>299.89</v>
      </c>
    </row>
    <row r="2891" spans="1:9" x14ac:dyDescent="0.2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 s="1">
        <f t="shared" si="90"/>
        <v>599.91999999999996</v>
      </c>
      <c r="H2891" s="1" t="str">
        <f>_xlfn.XLOOKUP(C2891,Product!A:A,Product!B:B,"not found",0)</f>
        <v>Electra Townie Original 7D EQ - Women's - 2016</v>
      </c>
      <c r="I2891" s="1">
        <f t="shared" si="91"/>
        <v>599.91999999999996</v>
      </c>
    </row>
    <row r="2892" spans="1:9" x14ac:dyDescent="0.2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 s="1">
        <f t="shared" si="90"/>
        <v>449.89</v>
      </c>
      <c r="H2892" s="1" t="str">
        <f>_xlfn.XLOOKUP(C2892,Product!A:A,Product!B:B,"not found",0)</f>
        <v>Sun Bicycles Cruz 3 - 2017</v>
      </c>
      <c r="I2892" s="1">
        <f t="shared" si="91"/>
        <v>449.89</v>
      </c>
    </row>
    <row r="2893" spans="1:9" x14ac:dyDescent="0.2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 s="1">
        <f t="shared" si="90"/>
        <v>10999.91</v>
      </c>
      <c r="H2893" s="1" t="str">
        <f>_xlfn.XLOOKUP(C2893,Product!A:A,Product!B:B,"not found",0)</f>
        <v>Trek Domane SLR 6 Disc - 2017</v>
      </c>
      <c r="I2893" s="1">
        <f t="shared" si="91"/>
        <v>10999.91</v>
      </c>
    </row>
    <row r="2894" spans="1:9" x14ac:dyDescent="0.2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 s="1">
        <f t="shared" si="90"/>
        <v>346.89</v>
      </c>
      <c r="H2894" s="1" t="str">
        <f>_xlfn.XLOOKUP(C2894,Product!A:A,Product!B:B,"not found",0)</f>
        <v>Sun Bicycles Lil Bolt Type-R - 2017</v>
      </c>
      <c r="I2894" s="1">
        <f t="shared" si="91"/>
        <v>346.89</v>
      </c>
    </row>
    <row r="2895" spans="1:9" x14ac:dyDescent="0.2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 s="1">
        <f t="shared" si="90"/>
        <v>1409.89</v>
      </c>
      <c r="H2895" s="1" t="str">
        <f>_xlfn.XLOOKUP(C2895,Product!A:A,Product!B:B,"not found",0)</f>
        <v>Haro SR 1.3 - 2017</v>
      </c>
      <c r="I2895" s="1">
        <f t="shared" si="91"/>
        <v>1409.89</v>
      </c>
    </row>
    <row r="2896" spans="1:9" x14ac:dyDescent="0.2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 s="1">
        <f t="shared" si="90"/>
        <v>599.79</v>
      </c>
      <c r="H2896" s="1" t="str">
        <f>_xlfn.XLOOKUP(C2896,Product!A:A,Product!B:B,"not found",0)</f>
        <v>Electra Townie Original 7D EQ - 2016</v>
      </c>
      <c r="I2896" s="1">
        <f t="shared" si="91"/>
        <v>599.79</v>
      </c>
    </row>
    <row r="2897" spans="1:9" x14ac:dyDescent="0.2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 s="1">
        <f t="shared" si="90"/>
        <v>1680.94</v>
      </c>
      <c r="H2897" s="1" t="str">
        <f>_xlfn.XLOOKUP(C2897,Product!A:A,Product!B:B,"not found",0)</f>
        <v>Surly Straggler 650b - 2016</v>
      </c>
      <c r="I2897" s="1">
        <f t="shared" si="91"/>
        <v>1680.94</v>
      </c>
    </row>
    <row r="2898" spans="1:9" x14ac:dyDescent="0.2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 s="1">
        <f t="shared" si="90"/>
        <v>659.88</v>
      </c>
      <c r="H2898" s="1" t="str">
        <f>_xlfn.XLOOKUP(C2898,Product!A:A,Product!B:B,"not found",0)</f>
        <v>Haro Downtown 16 - 2017</v>
      </c>
      <c r="I2898" s="1">
        <f t="shared" si="91"/>
        <v>659.88</v>
      </c>
    </row>
    <row r="2899" spans="1:9" x14ac:dyDescent="0.2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 s="1">
        <f t="shared" si="90"/>
        <v>299.79000000000002</v>
      </c>
      <c r="H2899" s="1" t="str">
        <f>_xlfn.XLOOKUP(C2899,Product!A:A,Product!B:B,"not found",0)</f>
        <v>Electra Girl's Hawaii 1 16" - 2017</v>
      </c>
      <c r="I2899" s="1">
        <f t="shared" si="91"/>
        <v>299.79000000000002</v>
      </c>
    </row>
    <row r="2900" spans="1:9" x14ac:dyDescent="0.2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 s="1">
        <f t="shared" si="90"/>
        <v>899.88</v>
      </c>
      <c r="H2900" s="1" t="str">
        <f>_xlfn.XLOOKUP(C2900,Product!A:A,Product!B:B,"not found",0)</f>
        <v>Sun Bicycles Cruz 3 - 2017</v>
      </c>
      <c r="I2900" s="1">
        <f t="shared" si="91"/>
        <v>899.88</v>
      </c>
    </row>
    <row r="2901" spans="1:9" x14ac:dyDescent="0.2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 s="1">
        <f t="shared" si="90"/>
        <v>416.79</v>
      </c>
      <c r="H2901" s="1" t="str">
        <f>_xlfn.XLOOKUP(C2901,Product!A:A,Product!B:B,"not found",0)</f>
        <v>Sun Bicycles Atlas X-Type - 2017</v>
      </c>
      <c r="I2901" s="1">
        <f t="shared" si="91"/>
        <v>416.79</v>
      </c>
    </row>
    <row r="2902" spans="1:9" x14ac:dyDescent="0.2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 s="1">
        <f t="shared" si="90"/>
        <v>749.89</v>
      </c>
      <c r="H2902" s="1" t="str">
        <f>_xlfn.XLOOKUP(C2902,Product!A:A,Product!B:B,"not found",0)</f>
        <v>Ritchey Timberwolf Frameset - 2016</v>
      </c>
      <c r="I2902" s="1">
        <f t="shared" si="91"/>
        <v>749.89</v>
      </c>
    </row>
    <row r="2903" spans="1:9" x14ac:dyDescent="0.2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 s="1">
        <f t="shared" si="90"/>
        <v>299.92</v>
      </c>
      <c r="H2903" s="1" t="str">
        <f>_xlfn.XLOOKUP(C2903,Product!A:A,Product!B:B,"not found",0)</f>
        <v>Electra Girl's Hawaii 1 16" - 2017</v>
      </c>
      <c r="I2903" s="1">
        <f t="shared" si="91"/>
        <v>299.92</v>
      </c>
    </row>
    <row r="2904" spans="1:9" x14ac:dyDescent="0.2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 s="1">
        <f t="shared" si="90"/>
        <v>599.91</v>
      </c>
      <c r="H2904" s="1" t="str">
        <f>_xlfn.XLOOKUP(C2904,Product!A:A,Product!B:B,"not found",0)</f>
        <v>Electra Girl's Hawaii 1 16" - 2017</v>
      </c>
      <c r="I2904" s="1">
        <f t="shared" si="91"/>
        <v>599.91</v>
      </c>
    </row>
    <row r="2905" spans="1:9" x14ac:dyDescent="0.2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 s="1">
        <f t="shared" si="90"/>
        <v>539.91999999999996</v>
      </c>
      <c r="H2905" s="1" t="str">
        <f>_xlfn.XLOOKUP(C2905,Product!A:A,Product!B:B,"not found",0)</f>
        <v>Haro SR 1.1 - 2017</v>
      </c>
      <c r="I2905" s="1">
        <f t="shared" si="91"/>
        <v>539.91999999999996</v>
      </c>
    </row>
    <row r="2906" spans="1:9" x14ac:dyDescent="0.2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 s="1">
        <f t="shared" si="90"/>
        <v>833.88</v>
      </c>
      <c r="H2906" s="1" t="str">
        <f>_xlfn.XLOOKUP(C2906,Product!A:A,Product!B:B,"not found",0)</f>
        <v>Sun Bicycles Cruz 7 - Women's - 2017</v>
      </c>
      <c r="I2906" s="1">
        <f t="shared" si="91"/>
        <v>833.88</v>
      </c>
    </row>
    <row r="2907" spans="1:9" x14ac:dyDescent="0.2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 s="1">
        <f t="shared" si="90"/>
        <v>189.79000000000002</v>
      </c>
      <c r="H2907" s="1" t="str">
        <f>_xlfn.XLOOKUP(C2907,Product!A:A,Product!B:B,"not found",0)</f>
        <v>Trek Precaliber 12 Girls - 2017</v>
      </c>
      <c r="I2907" s="1">
        <f t="shared" si="91"/>
        <v>189.79000000000002</v>
      </c>
    </row>
    <row r="2908" spans="1:9" x14ac:dyDescent="0.2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 s="1">
        <f t="shared" si="90"/>
        <v>599.78</v>
      </c>
      <c r="H2908" s="1" t="str">
        <f>_xlfn.XLOOKUP(C2908,Product!A:A,Product!B:B,"not found",0)</f>
        <v>Electra Sugar Skulls 1 (20-inch) - Girl's - 2017</v>
      </c>
      <c r="I2908" s="1">
        <f t="shared" si="91"/>
        <v>599.78</v>
      </c>
    </row>
    <row r="2909" spans="1:9" x14ac:dyDescent="0.2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 s="1">
        <f t="shared" si="90"/>
        <v>1199.78</v>
      </c>
      <c r="H2909" s="1" t="str">
        <f>_xlfn.XLOOKUP(C2909,Product!A:A,Product!B:B,"not found",0)</f>
        <v>Electra Townie Original 7D EQ - 2016</v>
      </c>
      <c r="I2909" s="1">
        <f t="shared" si="91"/>
        <v>1199.78</v>
      </c>
    </row>
    <row r="2910" spans="1:9" x14ac:dyDescent="0.2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 s="1">
        <f t="shared" si="90"/>
        <v>899.93000000000006</v>
      </c>
      <c r="H2910" s="1" t="str">
        <f>_xlfn.XLOOKUP(C2910,Product!A:A,Product!B:B,"not found",0)</f>
        <v>Sun Bicycles Cruz 3 - 2017</v>
      </c>
      <c r="I2910" s="1">
        <f t="shared" si="91"/>
        <v>899.93000000000006</v>
      </c>
    </row>
    <row r="2911" spans="1:9" x14ac:dyDescent="0.2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 s="1">
        <f t="shared" si="90"/>
        <v>1799.92</v>
      </c>
      <c r="H2911" s="1" t="str">
        <f>_xlfn.XLOOKUP(C2911,Product!A:A,Product!B:B,"not found",0)</f>
        <v>Trek Remedy 29 Carbon Frameset - 2016</v>
      </c>
      <c r="I2911" s="1">
        <f t="shared" si="91"/>
        <v>1799.92</v>
      </c>
    </row>
    <row r="2912" spans="1:9" x14ac:dyDescent="0.2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 s="1">
        <f t="shared" si="90"/>
        <v>489.79</v>
      </c>
      <c r="H2912" s="1" t="str">
        <f>_xlfn.XLOOKUP(C2912,Product!A:A,Product!B:B,"not found",0)</f>
        <v>Electra Townie Original 7D - 2017</v>
      </c>
      <c r="I2912" s="1">
        <f t="shared" si="91"/>
        <v>489.79</v>
      </c>
    </row>
    <row r="2913" spans="1:9" x14ac:dyDescent="0.2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 s="1">
        <f t="shared" si="90"/>
        <v>3119.93</v>
      </c>
      <c r="H2913" s="1" t="str">
        <f>_xlfn.XLOOKUP(C2913,Product!A:A,Product!B:B,"not found",0)</f>
        <v>Sun Bicycles ElectroLite - 2017</v>
      </c>
      <c r="I2913" s="1">
        <f t="shared" si="91"/>
        <v>3119.93</v>
      </c>
    </row>
    <row r="2914" spans="1:9" x14ac:dyDescent="0.2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 s="1">
        <f t="shared" si="90"/>
        <v>349.79</v>
      </c>
      <c r="H2914" s="1" t="str">
        <f>_xlfn.XLOOKUP(C2914,Product!A:A,Product!B:B,"not found",0)</f>
        <v>Electra Savannah 3i (20-inch) - Girl's - 2017</v>
      </c>
      <c r="I2914" s="1">
        <f t="shared" si="91"/>
        <v>349.79</v>
      </c>
    </row>
    <row r="2915" spans="1:9" x14ac:dyDescent="0.2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 s="1">
        <f t="shared" si="90"/>
        <v>1739.93</v>
      </c>
      <c r="H2915" s="1" t="str">
        <f>_xlfn.XLOOKUP(C2915,Product!A:A,Product!B:B,"not found",0)</f>
        <v>Haro SR 1.2 - 2017</v>
      </c>
      <c r="I2915" s="1">
        <f t="shared" si="91"/>
        <v>1739.93</v>
      </c>
    </row>
    <row r="2916" spans="1:9" x14ac:dyDescent="0.2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 s="1">
        <f t="shared" si="90"/>
        <v>2199.88</v>
      </c>
      <c r="H2916" s="1" t="str">
        <f>_xlfn.XLOOKUP(C2916,Product!A:A,Product!B:B,"not found",0)</f>
        <v>Electra Amsterdam Fashion 7i Ladies' - 2017</v>
      </c>
      <c r="I2916" s="1">
        <f t="shared" si="91"/>
        <v>2199.88</v>
      </c>
    </row>
    <row r="2917" spans="1:9" x14ac:dyDescent="0.2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 s="1">
        <f t="shared" si="90"/>
        <v>2599.9399999999996</v>
      </c>
      <c r="H2917" s="1" t="str">
        <f>_xlfn.XLOOKUP(C2917,Product!A:A,Product!B:B,"not found",0)</f>
        <v>Trek Domane S 5 Disc - 2017</v>
      </c>
      <c r="I2917" s="1">
        <f t="shared" si="91"/>
        <v>2599.9399999999996</v>
      </c>
    </row>
    <row r="2918" spans="1:9" x14ac:dyDescent="0.2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 s="1">
        <f t="shared" si="90"/>
        <v>939.88</v>
      </c>
      <c r="H2918" s="1" t="str">
        <f>_xlfn.XLOOKUP(C2918,Product!A:A,Product!B:B,"not found",0)</f>
        <v>Surly Ice Cream Truck Frameset - 2016</v>
      </c>
      <c r="I2918" s="1">
        <f t="shared" si="91"/>
        <v>939.88</v>
      </c>
    </row>
    <row r="2919" spans="1:9" x14ac:dyDescent="0.2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 s="1">
        <f t="shared" si="90"/>
        <v>1499.78</v>
      </c>
      <c r="H2919" s="1" t="str">
        <f>_xlfn.XLOOKUP(C2919,Product!A:A,Product!B:B,"not found",0)</f>
        <v>Sun Bicycles Brickell Tandem 7 - 2017</v>
      </c>
      <c r="I2919" s="1">
        <f t="shared" si="91"/>
        <v>1499.78</v>
      </c>
    </row>
    <row r="2920" spans="1:9" x14ac:dyDescent="0.2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 s="1">
        <f t="shared" si="90"/>
        <v>679.88</v>
      </c>
      <c r="H2920" s="1" t="str">
        <f>_xlfn.XLOOKUP(C2920,Product!A:A,Product!B:B,"not found",0)</f>
        <v>Electra Townie 7D (20-inch) - Boys' - 2017</v>
      </c>
      <c r="I2920" s="1">
        <f t="shared" si="91"/>
        <v>679.88</v>
      </c>
    </row>
    <row r="2921" spans="1:9" x14ac:dyDescent="0.2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 s="1">
        <f t="shared" si="90"/>
        <v>269.79000000000002</v>
      </c>
      <c r="H2921" s="1" t="str">
        <f>_xlfn.XLOOKUP(C2921,Product!A:A,Product!B:B,"not found",0)</f>
        <v>Electra Cruiser 1 (24-Inch) - 2016</v>
      </c>
      <c r="I2921" s="1">
        <f t="shared" si="91"/>
        <v>269.79000000000002</v>
      </c>
    </row>
    <row r="2922" spans="1:9" x14ac:dyDescent="0.2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 s="1">
        <f t="shared" si="90"/>
        <v>599.91</v>
      </c>
      <c r="H2922" s="1" t="str">
        <f>_xlfn.XLOOKUP(C2922,Product!A:A,Product!B:B,"not found",0)</f>
        <v>Electra Girl's Hawaii 1 16" - 2017</v>
      </c>
      <c r="I2922" s="1">
        <f t="shared" si="91"/>
        <v>599.91</v>
      </c>
    </row>
    <row r="2923" spans="1:9" x14ac:dyDescent="0.2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 s="1">
        <f t="shared" si="90"/>
        <v>209.92000000000002</v>
      </c>
      <c r="H2923" s="1" t="str">
        <f>_xlfn.XLOOKUP(C2923,Product!A:A,Product!B:B,"not found",0)</f>
        <v>Trek Precaliber 16 Boys - 2017</v>
      </c>
      <c r="I2923" s="1">
        <f t="shared" si="91"/>
        <v>209.92000000000002</v>
      </c>
    </row>
    <row r="2924" spans="1:9" x14ac:dyDescent="0.2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 s="1">
        <f t="shared" si="90"/>
        <v>1319.78</v>
      </c>
      <c r="H2924" s="1" t="str">
        <f>_xlfn.XLOOKUP(C2924,Product!A:A,Product!B:B,"not found",0)</f>
        <v>Electra Amsterdam Original 3i Ladies' - 2017</v>
      </c>
      <c r="I2924" s="1">
        <f t="shared" si="91"/>
        <v>1319.78</v>
      </c>
    </row>
    <row r="2925" spans="1:9" x14ac:dyDescent="0.2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 s="1">
        <f t="shared" si="90"/>
        <v>489.79</v>
      </c>
      <c r="H2925" s="1" t="str">
        <f>_xlfn.XLOOKUP(C2925,Product!A:A,Product!B:B,"not found",0)</f>
        <v>Electra Townie 3i EQ (20-inch) - Boys' - 2017</v>
      </c>
      <c r="I2925" s="1">
        <f t="shared" si="91"/>
        <v>489.79</v>
      </c>
    </row>
    <row r="2926" spans="1:9" x14ac:dyDescent="0.2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 s="1">
        <f t="shared" si="90"/>
        <v>897.8</v>
      </c>
      <c r="H2926" s="1" t="str">
        <f>_xlfn.XLOOKUP(C2926,Product!A:A,Product!B:B,"not found",0)</f>
        <v>Pure Cycles Western 3-Speed - Women's - 2015/2016</v>
      </c>
      <c r="I2926" s="1">
        <f t="shared" si="91"/>
        <v>897.8</v>
      </c>
    </row>
    <row r="2927" spans="1:9" x14ac:dyDescent="0.2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 s="1">
        <f t="shared" si="90"/>
        <v>1599.88</v>
      </c>
      <c r="H2927" s="1" t="str">
        <f>_xlfn.XLOOKUP(C2927,Product!A:A,Product!B:B,"not found",0)</f>
        <v>Electra Glam Punk 3i Ladies' - 2017</v>
      </c>
      <c r="I2927" s="1">
        <f t="shared" si="91"/>
        <v>1599.88</v>
      </c>
    </row>
    <row r="2928" spans="1:9" x14ac:dyDescent="0.2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 s="1">
        <f t="shared" si="90"/>
        <v>599.91</v>
      </c>
      <c r="H2928" s="1" t="str">
        <f>_xlfn.XLOOKUP(C2928,Product!A:A,Product!B:B,"not found",0)</f>
        <v>Electra Girl's Hawaii 1 16" - 2017</v>
      </c>
      <c r="I2928" s="1">
        <f t="shared" si="91"/>
        <v>599.91</v>
      </c>
    </row>
    <row r="2929" spans="1:9" x14ac:dyDescent="0.2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 s="1">
        <f t="shared" si="90"/>
        <v>699.88</v>
      </c>
      <c r="H2929" s="1" t="str">
        <f>_xlfn.XLOOKUP(C2929,Product!A:A,Product!B:B,"not found",0)</f>
        <v>Electra Savannah 3i (20-inch) - Girl's - 2017</v>
      </c>
      <c r="I2929" s="1">
        <f t="shared" si="91"/>
        <v>699.88</v>
      </c>
    </row>
    <row r="2930" spans="1:9" x14ac:dyDescent="0.2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 s="1">
        <f t="shared" si="90"/>
        <v>349.79</v>
      </c>
      <c r="H2930" s="1" t="str">
        <f>_xlfn.XLOOKUP(C2930,Product!A:A,Product!B:B,"not found",0)</f>
        <v>Trek Precaliber 24 (21-Speed) - Girls - 2017</v>
      </c>
      <c r="I2930" s="1">
        <f t="shared" si="91"/>
        <v>349.79</v>
      </c>
    </row>
    <row r="2931" spans="1:9" x14ac:dyDescent="0.2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 s="1">
        <f t="shared" si="90"/>
        <v>999.89</v>
      </c>
      <c r="H2931" s="1" t="str">
        <f>_xlfn.XLOOKUP(C2931,Product!A:A,Product!B:B,"not found",0)</f>
        <v>Surly Ice Cream Truck Frameset - 2017</v>
      </c>
      <c r="I2931" s="1">
        <f t="shared" si="91"/>
        <v>999.89</v>
      </c>
    </row>
    <row r="2932" spans="1:9" x14ac:dyDescent="0.2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 s="1">
        <f t="shared" si="90"/>
        <v>875.79</v>
      </c>
      <c r="H2932" s="1" t="str">
        <f>_xlfn.XLOOKUP(C2932,Product!A:A,Product!B:B,"not found",0)</f>
        <v>Surly Steamroller - 2017</v>
      </c>
      <c r="I2932" s="1">
        <f t="shared" si="91"/>
        <v>875.79</v>
      </c>
    </row>
    <row r="2933" spans="1:9" x14ac:dyDescent="0.2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 s="1">
        <f t="shared" si="90"/>
        <v>379.94</v>
      </c>
      <c r="H2933" s="1" t="str">
        <f>_xlfn.XLOOKUP(C2933,Product!A:A,Product!B:B,"not found",0)</f>
        <v>Haro Flightline One ST - 2017</v>
      </c>
      <c r="I2933" s="1">
        <f t="shared" si="91"/>
        <v>379.94</v>
      </c>
    </row>
    <row r="2934" spans="1:9" x14ac:dyDescent="0.2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 s="1">
        <f t="shared" si="90"/>
        <v>419.78000000000003</v>
      </c>
      <c r="H2934" s="1" t="str">
        <f>_xlfn.XLOOKUP(C2934,Product!A:A,Product!B:B,"not found",0)</f>
        <v>Haro Shredder 20 Girls - 2017</v>
      </c>
      <c r="I2934" s="1">
        <f t="shared" si="91"/>
        <v>419.78000000000003</v>
      </c>
    </row>
    <row r="2935" spans="1:9" x14ac:dyDescent="0.2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 s="1">
        <f t="shared" si="90"/>
        <v>1199.93</v>
      </c>
      <c r="H2935" s="1" t="str">
        <f>_xlfn.XLOOKUP(C2935,Product!A:A,Product!B:B,"not found",0)</f>
        <v>Electra Townie Original 7D EQ - Women's - 2016</v>
      </c>
      <c r="I2935" s="1">
        <f t="shared" si="91"/>
        <v>1199.93</v>
      </c>
    </row>
    <row r="2936" spans="1:9" x14ac:dyDescent="0.2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 s="1">
        <f t="shared" si="90"/>
        <v>833.93000000000006</v>
      </c>
      <c r="H2936" s="1" t="str">
        <f>_xlfn.XLOOKUP(C2936,Product!A:A,Product!B:B,"not found",0)</f>
        <v>Sun Bicycles Cruz 7 - 2017</v>
      </c>
      <c r="I2936" s="1">
        <f t="shared" si="91"/>
        <v>833.93000000000006</v>
      </c>
    </row>
    <row r="2937" spans="1:9" x14ac:dyDescent="0.2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 s="1">
        <f t="shared" si="90"/>
        <v>529.91999999999996</v>
      </c>
      <c r="H2937" s="1" t="str">
        <f>_xlfn.XLOOKUP(C2937,Product!A:A,Product!B:B,"not found",0)</f>
        <v>Electra Moto 1 - 2016</v>
      </c>
      <c r="I2937" s="1">
        <f t="shared" si="91"/>
        <v>529.91999999999996</v>
      </c>
    </row>
    <row r="2938" spans="1:9" x14ac:dyDescent="0.2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 s="1">
        <f t="shared" si="90"/>
        <v>3999.88</v>
      </c>
      <c r="H2938" s="1" t="str">
        <f>_xlfn.XLOOKUP(C2938,Product!A:A,Product!B:B,"not found",0)</f>
        <v>Trek Emonda S 5 - 2017</v>
      </c>
      <c r="I2938" s="1">
        <f t="shared" si="91"/>
        <v>3999.88</v>
      </c>
    </row>
    <row r="2939" spans="1:9" x14ac:dyDescent="0.2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 s="1">
        <f t="shared" si="90"/>
        <v>9999.93</v>
      </c>
      <c r="H2939" s="1" t="str">
        <f>_xlfn.XLOOKUP(C2939,Product!A:A,Product!B:B,"not found",0)</f>
        <v>Trek Fuel EX 9.8 29 - 2017</v>
      </c>
      <c r="I2939" s="1">
        <f t="shared" si="91"/>
        <v>9999.93</v>
      </c>
    </row>
    <row r="2940" spans="1:9" x14ac:dyDescent="0.2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 s="1">
        <f t="shared" si="90"/>
        <v>6999.91</v>
      </c>
      <c r="H2940" s="1" t="str">
        <f>_xlfn.XLOOKUP(C2940,Product!A:A,Product!B:B,"not found",0)</f>
        <v>Trek Domane SL 6 - 2017</v>
      </c>
      <c r="I2940" s="1">
        <f t="shared" si="91"/>
        <v>6999.91</v>
      </c>
    </row>
    <row r="2941" spans="1:9" x14ac:dyDescent="0.2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 s="1">
        <f t="shared" si="90"/>
        <v>599.91</v>
      </c>
      <c r="H2941" s="1" t="str">
        <f>_xlfn.XLOOKUP(C2941,Product!A:A,Product!B:B,"not found",0)</f>
        <v>Electra Girl's Hawaii 1 (20-inch) - 2015/2016</v>
      </c>
      <c r="I2941" s="1">
        <f t="shared" si="91"/>
        <v>599.91</v>
      </c>
    </row>
    <row r="2942" spans="1:9" x14ac:dyDescent="0.2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 s="1">
        <f t="shared" si="90"/>
        <v>469.79</v>
      </c>
      <c r="H2942" s="1" t="str">
        <f>_xlfn.XLOOKUP(C2942,Product!A:A,Product!B:B,"not found",0)</f>
        <v>Surly Wednesday Frameset - 2017</v>
      </c>
      <c r="I2942" s="1">
        <f t="shared" si="91"/>
        <v>469.79</v>
      </c>
    </row>
    <row r="2943" spans="1:9" x14ac:dyDescent="0.2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 s="1">
        <f t="shared" si="90"/>
        <v>1409.89</v>
      </c>
      <c r="H2943" s="1" t="str">
        <f>_xlfn.XLOOKUP(C2943,Product!A:A,Product!B:B,"not found",0)</f>
        <v>Haro SR 1.3 - 2017</v>
      </c>
      <c r="I2943" s="1">
        <f t="shared" si="91"/>
        <v>1409.89</v>
      </c>
    </row>
    <row r="2944" spans="1:9" x14ac:dyDescent="0.2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 s="1">
        <f t="shared" si="90"/>
        <v>346.92</v>
      </c>
      <c r="H2944" s="1" t="str">
        <f>_xlfn.XLOOKUP(C2944,Product!A:A,Product!B:B,"not found",0)</f>
        <v>Sun Bicycles Lil Bolt Type-R - 2017</v>
      </c>
      <c r="I2944" s="1">
        <f t="shared" si="91"/>
        <v>346.92</v>
      </c>
    </row>
    <row r="2945" spans="1:9" x14ac:dyDescent="0.2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 s="1">
        <f t="shared" si="90"/>
        <v>1320.92</v>
      </c>
      <c r="H2945" s="1" t="str">
        <f>_xlfn.XLOOKUP(C2945,Product!A:A,Product!B:B,"not found",0)</f>
        <v>Heller Shagamaw Frame - 2016</v>
      </c>
      <c r="I2945" s="1">
        <f t="shared" si="91"/>
        <v>1320.92</v>
      </c>
    </row>
    <row r="2946" spans="1:9" x14ac:dyDescent="0.2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 s="1">
        <f t="shared" si="90"/>
        <v>349.92</v>
      </c>
      <c r="H2946" s="1" t="str">
        <f>_xlfn.XLOOKUP(C2946,Product!A:A,Product!B:B,"not found",0)</f>
        <v>Trek Precaliber 24 (21-Speed) - Girls - 2017</v>
      </c>
      <c r="I2946" s="1">
        <f t="shared" si="91"/>
        <v>349.92</v>
      </c>
    </row>
    <row r="2947" spans="1:9" x14ac:dyDescent="0.2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 s="1">
        <f t="shared" ref="G2947:G3010" si="92">(E2947*D2947)-F2947</f>
        <v>10599.88</v>
      </c>
      <c r="H2947" s="1" t="str">
        <f>_xlfn.XLOOKUP(C2947,Product!A:A,Product!B:B,"not found",0)</f>
        <v>Trek Fuel EX 9.8 27.5 Plus - 2017</v>
      </c>
      <c r="I2947" s="1">
        <f t="shared" ref="I2947:I3010" si="93">(D2947*E2947)-F2947</f>
        <v>10599.88</v>
      </c>
    </row>
    <row r="2948" spans="1:9" x14ac:dyDescent="0.2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 s="1">
        <f t="shared" si="92"/>
        <v>481.79</v>
      </c>
      <c r="H2948" s="1" t="str">
        <f>_xlfn.XLOOKUP(C2948,Product!A:A,Product!B:B,"not found",0)</f>
        <v>Sun Bicycles Streamway - 2017</v>
      </c>
      <c r="I2948" s="1">
        <f t="shared" si="93"/>
        <v>481.79</v>
      </c>
    </row>
    <row r="2949" spans="1:9" x14ac:dyDescent="0.2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 s="1">
        <f t="shared" si="92"/>
        <v>4999.9299999999994</v>
      </c>
      <c r="H2949" s="1" t="str">
        <f>_xlfn.XLOOKUP(C2949,Product!A:A,Product!B:B,"not found",0)</f>
        <v>Surly Karate Monkey 27.5+ Frameset - 2017</v>
      </c>
      <c r="I2949" s="1">
        <f t="shared" si="93"/>
        <v>4999.9299999999994</v>
      </c>
    </row>
    <row r="2950" spans="1:9" x14ac:dyDescent="0.2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 s="1">
        <f t="shared" si="92"/>
        <v>979.78</v>
      </c>
      <c r="H2950" s="1" t="str">
        <f>_xlfn.XLOOKUP(C2950,Product!A:A,Product!B:B,"not found",0)</f>
        <v>Electra Straight 8 3i (20-inch) - Boy's - 2017</v>
      </c>
      <c r="I2950" s="1">
        <f t="shared" si="93"/>
        <v>979.78</v>
      </c>
    </row>
    <row r="2951" spans="1:9" x14ac:dyDescent="0.2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 s="1">
        <f t="shared" si="92"/>
        <v>699.88</v>
      </c>
      <c r="H2951" s="1" t="str">
        <f>_xlfn.XLOOKUP(C2951,Product!A:A,Product!B:B,"not found",0)</f>
        <v>Electra Moto 3i (20-inch) - Boy's - 2017</v>
      </c>
      <c r="I2951" s="1">
        <f t="shared" si="93"/>
        <v>699.88</v>
      </c>
    </row>
    <row r="2952" spans="1:9" x14ac:dyDescent="0.2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 s="1">
        <f t="shared" si="92"/>
        <v>349.79</v>
      </c>
      <c r="H2952" s="1" t="str">
        <f>_xlfn.XLOOKUP(C2952,Product!A:A,Product!B:B,"not found",0)</f>
        <v>Trek Precaliber 24 (21-Speed) - Girls - 2017</v>
      </c>
      <c r="I2952" s="1">
        <f t="shared" si="93"/>
        <v>349.79</v>
      </c>
    </row>
    <row r="2953" spans="1:9" x14ac:dyDescent="0.2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 s="1">
        <f t="shared" si="92"/>
        <v>209.92000000000002</v>
      </c>
      <c r="H2953" s="1" t="str">
        <f>_xlfn.XLOOKUP(C2953,Product!A:A,Product!B:B,"not found",0)</f>
        <v>Trek Precaliber 16 Boys - 2017</v>
      </c>
      <c r="I2953" s="1">
        <f t="shared" si="93"/>
        <v>209.92000000000002</v>
      </c>
    </row>
    <row r="2954" spans="1:9" x14ac:dyDescent="0.2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 s="1">
        <f t="shared" si="92"/>
        <v>489.89</v>
      </c>
      <c r="H2954" s="1" t="str">
        <f>_xlfn.XLOOKUP(C2954,Product!A:A,Product!B:B,"not found",0)</f>
        <v>Electra Townie Original 7D - 2017</v>
      </c>
      <c r="I2954" s="1">
        <f t="shared" si="93"/>
        <v>489.89</v>
      </c>
    </row>
    <row r="2955" spans="1:9" x14ac:dyDescent="0.2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 s="1">
        <f t="shared" si="92"/>
        <v>1499.89</v>
      </c>
      <c r="H2955" s="1" t="str">
        <f>_xlfn.XLOOKUP(C2955,Product!A:A,Product!B:B,"not found",0)</f>
        <v>Trek Stache 5 - 2017</v>
      </c>
      <c r="I2955" s="1">
        <f t="shared" si="93"/>
        <v>1499.89</v>
      </c>
    </row>
    <row r="2956" spans="1:9" x14ac:dyDescent="0.2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 s="1">
        <f t="shared" si="92"/>
        <v>529.94000000000005</v>
      </c>
      <c r="H2956" s="1" t="str">
        <f>_xlfn.XLOOKUP(C2956,Product!A:A,Product!B:B,"not found",0)</f>
        <v>Electra Moto 1 - 2016</v>
      </c>
      <c r="I2956" s="1">
        <f t="shared" si="93"/>
        <v>529.94000000000005</v>
      </c>
    </row>
    <row r="2957" spans="1:9" x14ac:dyDescent="0.2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 s="1">
        <f t="shared" si="92"/>
        <v>501.93</v>
      </c>
      <c r="H2957" s="1" t="str">
        <f>_xlfn.XLOOKUP(C2957,Product!A:A,Product!B:B,"not found",0)</f>
        <v>Sun Bicycles Revolutions 24 - 2017</v>
      </c>
      <c r="I2957" s="1">
        <f t="shared" si="93"/>
        <v>501.93</v>
      </c>
    </row>
    <row r="2958" spans="1:9" x14ac:dyDescent="0.2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 s="1">
        <f t="shared" si="92"/>
        <v>7999.91</v>
      </c>
      <c r="H2958" s="1" t="str">
        <f>_xlfn.XLOOKUP(C2958,Product!A:A,Product!B:B,"not found",0)</f>
        <v>Trek Slash 8 27.5 - 2016</v>
      </c>
      <c r="I2958" s="1">
        <f t="shared" si="93"/>
        <v>7999.91</v>
      </c>
    </row>
    <row r="2959" spans="1:9" x14ac:dyDescent="0.2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 s="1">
        <f t="shared" si="92"/>
        <v>599.88</v>
      </c>
      <c r="H2959" s="1" t="str">
        <f>_xlfn.XLOOKUP(C2959,Product!A:A,Product!B:B,"not found",0)</f>
        <v>Electra Girl's Hawaii 1 16" - 2017</v>
      </c>
      <c r="I2959" s="1">
        <f t="shared" si="93"/>
        <v>599.88</v>
      </c>
    </row>
    <row r="2960" spans="1:9" x14ac:dyDescent="0.2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 s="1">
        <f t="shared" si="92"/>
        <v>539.93000000000006</v>
      </c>
      <c r="H2960" s="1" t="str">
        <f>_xlfn.XLOOKUP(C2960,Product!A:A,Product!B:B,"not found",0)</f>
        <v>Electra Girl's Hawaii 1 (16-inch) - 2015/2016</v>
      </c>
      <c r="I2960" s="1">
        <f t="shared" si="93"/>
        <v>539.93000000000006</v>
      </c>
    </row>
    <row r="2961" spans="1:9" x14ac:dyDescent="0.2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 s="1">
        <f t="shared" si="92"/>
        <v>941.88</v>
      </c>
      <c r="H2961" s="1" t="str">
        <f>_xlfn.XLOOKUP(C2961,Product!A:A,Product!B:B,"not found",0)</f>
        <v>Sun Bicycles Drifter 7 - Women's - 2017</v>
      </c>
      <c r="I2961" s="1">
        <f t="shared" si="93"/>
        <v>941.88</v>
      </c>
    </row>
    <row r="2962" spans="1:9" x14ac:dyDescent="0.2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 s="1">
        <f t="shared" si="92"/>
        <v>1548.8</v>
      </c>
      <c r="H2962" s="1" t="str">
        <f>_xlfn.XLOOKUP(C2962,Product!A:A,Product!B:B,"not found",0)</f>
        <v>Surly Straggler - 2016</v>
      </c>
      <c r="I2962" s="1">
        <f t="shared" si="93"/>
        <v>1548.8</v>
      </c>
    </row>
    <row r="2963" spans="1:9" x14ac:dyDescent="0.2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 s="1">
        <f t="shared" si="92"/>
        <v>1469.79</v>
      </c>
      <c r="H2963" s="1" t="str">
        <f>_xlfn.XLOOKUP(C2963,Product!A:A,Product!B:B,"not found",0)</f>
        <v>Haro Shift R3 - 2017</v>
      </c>
      <c r="I2963" s="1">
        <f t="shared" si="93"/>
        <v>1469.79</v>
      </c>
    </row>
    <row r="2964" spans="1:9" x14ac:dyDescent="0.2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 s="1">
        <f t="shared" si="92"/>
        <v>1665.88</v>
      </c>
      <c r="H2964" s="1" t="str">
        <f>_xlfn.XLOOKUP(C2964,Product!A:A,Product!B:B,"not found",0)</f>
        <v>Sun Bicycles Spider 3i - 2017</v>
      </c>
      <c r="I2964" s="1">
        <f t="shared" si="93"/>
        <v>1665.88</v>
      </c>
    </row>
    <row r="2965" spans="1:9" x14ac:dyDescent="0.2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 s="1">
        <f t="shared" si="92"/>
        <v>449.79</v>
      </c>
      <c r="H2965" s="1" t="str">
        <f>_xlfn.XLOOKUP(C2965,Product!A:A,Product!B:B,"not found",0)</f>
        <v>Sun Bicycles Cruz 3 - Women's - 2017</v>
      </c>
      <c r="I2965" s="1">
        <f t="shared" si="93"/>
        <v>449.79</v>
      </c>
    </row>
    <row r="2966" spans="1:9" x14ac:dyDescent="0.2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 s="1">
        <f t="shared" si="92"/>
        <v>599.79</v>
      </c>
      <c r="H2966" s="1" t="str">
        <f>_xlfn.XLOOKUP(C2966,Product!A:A,Product!B:B,"not found",0)</f>
        <v>Electra Townie Original 7D EQ - Women's - 2016</v>
      </c>
      <c r="I2966" s="1">
        <f t="shared" si="93"/>
        <v>599.79</v>
      </c>
    </row>
    <row r="2967" spans="1:9" x14ac:dyDescent="0.2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 s="1">
        <f t="shared" si="92"/>
        <v>2699.89</v>
      </c>
      <c r="H2967" s="1" t="str">
        <f>_xlfn.XLOOKUP(C2967,Product!A:A,Product!B:B,"not found",0)</f>
        <v>Trek Domane S 6 - 2017</v>
      </c>
      <c r="I2967" s="1">
        <f t="shared" si="93"/>
        <v>2699.89</v>
      </c>
    </row>
    <row r="2968" spans="1:9" x14ac:dyDescent="0.2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 s="1">
        <f t="shared" si="92"/>
        <v>4999.79</v>
      </c>
      <c r="H2968" s="1" t="str">
        <f>_xlfn.XLOOKUP(C2968,Product!A:A,Product!B:B,"not found",0)</f>
        <v>Trek Fuel EX 9.8 29 - 2017</v>
      </c>
      <c r="I2968" s="1">
        <f t="shared" si="93"/>
        <v>4999.79</v>
      </c>
    </row>
    <row r="2969" spans="1:9" x14ac:dyDescent="0.2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 s="1">
        <f t="shared" si="92"/>
        <v>899.88</v>
      </c>
      <c r="H2969" s="1" t="str">
        <f>_xlfn.XLOOKUP(C2969,Product!A:A,Product!B:B,"not found",0)</f>
        <v>Sun Bicycles Cruz 3 - 2017</v>
      </c>
      <c r="I2969" s="1">
        <f t="shared" si="93"/>
        <v>899.88</v>
      </c>
    </row>
    <row r="2970" spans="1:9" x14ac:dyDescent="0.2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 s="1">
        <f t="shared" si="92"/>
        <v>999.94</v>
      </c>
      <c r="H2970" s="1" t="str">
        <f>_xlfn.XLOOKUP(C2970,Product!A:A,Product!B:B,"not found",0)</f>
        <v>Surly Big Dummy Frameset - 2017</v>
      </c>
      <c r="I2970" s="1">
        <f t="shared" si="93"/>
        <v>999.94</v>
      </c>
    </row>
    <row r="2971" spans="1:9" x14ac:dyDescent="0.2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 s="1">
        <f t="shared" si="92"/>
        <v>3097.9</v>
      </c>
      <c r="H2971" s="1" t="str">
        <f>_xlfn.XLOOKUP(C2971,Product!A:A,Product!B:B,"not found",0)</f>
        <v>Surly Straggler - 2016</v>
      </c>
      <c r="I2971" s="1">
        <f t="shared" si="93"/>
        <v>3097.9</v>
      </c>
    </row>
    <row r="2972" spans="1:9" x14ac:dyDescent="0.2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 s="1">
        <f t="shared" si="92"/>
        <v>619.89</v>
      </c>
      <c r="H2972" s="1" t="str">
        <f>_xlfn.XLOOKUP(C2972,Product!A:A,Product!B:B,"not found",0)</f>
        <v>Sun Bicycles Biscayne Tandem 7 - 2017</v>
      </c>
      <c r="I2972" s="1">
        <f t="shared" si="93"/>
        <v>619.89</v>
      </c>
    </row>
    <row r="2973" spans="1:9" x14ac:dyDescent="0.2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 s="1">
        <f t="shared" si="92"/>
        <v>1999.78</v>
      </c>
      <c r="H2973" s="1" t="str">
        <f>_xlfn.XLOOKUP(C2973,Product!A:A,Product!B:B,"not found",0)</f>
        <v>Surly Big Dummy Frameset - 2017</v>
      </c>
      <c r="I2973" s="1">
        <f t="shared" si="93"/>
        <v>1999.78</v>
      </c>
    </row>
    <row r="2974" spans="1:9" x14ac:dyDescent="0.2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 s="1">
        <f t="shared" si="92"/>
        <v>899.78</v>
      </c>
      <c r="H2974" s="1" t="str">
        <f>_xlfn.XLOOKUP(C2974,Product!A:A,Product!B:B,"not found",0)</f>
        <v>Sun Bicycles Cruz 3 - Women's - 2017</v>
      </c>
      <c r="I2974" s="1">
        <f t="shared" si="93"/>
        <v>899.78</v>
      </c>
    </row>
    <row r="2975" spans="1:9" x14ac:dyDescent="0.2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 s="1">
        <f t="shared" si="92"/>
        <v>3119.88</v>
      </c>
      <c r="H2975" s="1" t="str">
        <f>_xlfn.XLOOKUP(C2975,Product!A:A,Product!B:B,"not found",0)</f>
        <v>Sun Bicycles ElectroLite - 2017</v>
      </c>
      <c r="I2975" s="1">
        <f t="shared" si="93"/>
        <v>3119.88</v>
      </c>
    </row>
    <row r="2976" spans="1:9" x14ac:dyDescent="0.2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 s="1">
        <f t="shared" si="92"/>
        <v>428.9</v>
      </c>
      <c r="H2976" s="1" t="str">
        <f>_xlfn.XLOOKUP(C2976,Product!A:A,Product!B:B,"not found",0)</f>
        <v>Pure Cycles Vine 8-Speed - 2016</v>
      </c>
      <c r="I2976" s="1">
        <f t="shared" si="93"/>
        <v>428.9</v>
      </c>
    </row>
    <row r="2977" spans="1:9" x14ac:dyDescent="0.2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 s="1">
        <f t="shared" si="92"/>
        <v>599.91999999999996</v>
      </c>
      <c r="H2977" s="1" t="str">
        <f>_xlfn.XLOOKUP(C2977,Product!A:A,Product!B:B,"not found",0)</f>
        <v>Electra Townie Original 7D EQ - 2016</v>
      </c>
      <c r="I2977" s="1">
        <f t="shared" si="93"/>
        <v>599.91999999999996</v>
      </c>
    </row>
    <row r="2978" spans="1:9" x14ac:dyDescent="0.2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 s="1">
        <f t="shared" si="92"/>
        <v>833.88</v>
      </c>
      <c r="H2978" s="1" t="str">
        <f>_xlfn.XLOOKUP(C2978,Product!A:A,Product!B:B,"not found",0)</f>
        <v>Sun Bicycles Cruz 7 - Women's - 2017</v>
      </c>
      <c r="I2978" s="1">
        <f t="shared" si="93"/>
        <v>833.88</v>
      </c>
    </row>
    <row r="2979" spans="1:9" x14ac:dyDescent="0.2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 s="1">
        <f t="shared" si="92"/>
        <v>1999.91</v>
      </c>
      <c r="H2979" s="1" t="str">
        <f>_xlfn.XLOOKUP(C2979,Product!A:A,Product!B:B,"not found",0)</f>
        <v>Surly Big Dummy Frameset - 2017</v>
      </c>
      <c r="I2979" s="1">
        <f t="shared" si="93"/>
        <v>1999.91</v>
      </c>
    </row>
    <row r="2980" spans="1:9" x14ac:dyDescent="0.2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 s="1">
        <f t="shared" si="92"/>
        <v>339.89</v>
      </c>
      <c r="H2980" s="1" t="str">
        <f>_xlfn.XLOOKUP(C2980,Product!A:A,Product!B:B,"not found",0)</f>
        <v>Electra Townie 7D (20-inch) - Boys' - 2017</v>
      </c>
      <c r="I2980" s="1">
        <f t="shared" si="93"/>
        <v>339.89</v>
      </c>
    </row>
    <row r="2981" spans="1:9" x14ac:dyDescent="0.2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 s="1">
        <f t="shared" si="92"/>
        <v>3599.88</v>
      </c>
      <c r="H2981" s="1" t="str">
        <f>_xlfn.XLOOKUP(C2981,Product!A:A,Product!B:B,"not found",0)</f>
        <v>Trek Remedy 29 Carbon Frameset - 2016</v>
      </c>
      <c r="I2981" s="1">
        <f t="shared" si="93"/>
        <v>3599.88</v>
      </c>
    </row>
    <row r="2982" spans="1:9" x14ac:dyDescent="0.2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 s="1">
        <f t="shared" si="92"/>
        <v>3361.91</v>
      </c>
      <c r="H2982" s="1" t="str">
        <f>_xlfn.XLOOKUP(C2982,Product!A:A,Product!B:B,"not found",0)</f>
        <v>Surly Straggler 650b - 2016</v>
      </c>
      <c r="I2982" s="1">
        <f t="shared" si="93"/>
        <v>3361.91</v>
      </c>
    </row>
    <row r="2983" spans="1:9" x14ac:dyDescent="0.2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 s="1">
        <f t="shared" si="92"/>
        <v>269.94</v>
      </c>
      <c r="H2983" s="1" t="str">
        <f>_xlfn.XLOOKUP(C2983,Product!A:A,Product!B:B,"not found",0)</f>
        <v>Electra Cruiser 1 (24-Inch) - 2016</v>
      </c>
      <c r="I2983" s="1">
        <f t="shared" si="93"/>
        <v>269.94</v>
      </c>
    </row>
    <row r="2984" spans="1:9" x14ac:dyDescent="0.2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 s="1">
        <f t="shared" si="92"/>
        <v>349.79</v>
      </c>
      <c r="H2984" s="1" t="str">
        <f>_xlfn.XLOOKUP(C2984,Product!A:A,Product!B:B,"not found",0)</f>
        <v>Electra Moto 3i (20-inch) - Boy's - 2017</v>
      </c>
      <c r="I2984" s="1">
        <f t="shared" si="93"/>
        <v>349.79</v>
      </c>
    </row>
    <row r="2985" spans="1:9" x14ac:dyDescent="0.2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 s="1">
        <f t="shared" si="92"/>
        <v>5399.8799999999992</v>
      </c>
      <c r="H2985" s="1" t="str">
        <f>_xlfn.XLOOKUP(C2985,Product!A:A,Product!B:B,"not found",0)</f>
        <v>Trek Domane S 6 - 2017</v>
      </c>
      <c r="I2985" s="1">
        <f t="shared" si="93"/>
        <v>5399.8799999999992</v>
      </c>
    </row>
    <row r="2986" spans="1:9" x14ac:dyDescent="0.2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 s="1">
        <f t="shared" si="92"/>
        <v>299.92</v>
      </c>
      <c r="H2986" s="1" t="str">
        <f>_xlfn.XLOOKUP(C2986,Product!A:A,Product!B:B,"not found",0)</f>
        <v>Electra Girl's Hawaii 1 16" - 2017</v>
      </c>
      <c r="I2986" s="1">
        <f t="shared" si="93"/>
        <v>299.92</v>
      </c>
    </row>
    <row r="2987" spans="1:9" x14ac:dyDescent="0.2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 s="1">
        <f t="shared" si="92"/>
        <v>897.95</v>
      </c>
      <c r="H2987" s="1" t="str">
        <f>_xlfn.XLOOKUP(C2987,Product!A:A,Product!B:B,"not found",0)</f>
        <v>Pure Cycles Western 3-Speed - Women's - 2015/2016</v>
      </c>
      <c r="I2987" s="1">
        <f t="shared" si="93"/>
        <v>897.95</v>
      </c>
    </row>
    <row r="2988" spans="1:9" x14ac:dyDescent="0.2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 s="1">
        <f t="shared" si="92"/>
        <v>693.78</v>
      </c>
      <c r="H2988" s="1" t="str">
        <f>_xlfn.XLOOKUP(C2988,Product!A:A,Product!B:B,"not found",0)</f>
        <v>Sun Bicycles Lil Bolt Type-R - 2017</v>
      </c>
      <c r="I2988" s="1">
        <f t="shared" si="93"/>
        <v>693.78</v>
      </c>
    </row>
    <row r="2989" spans="1:9" x14ac:dyDescent="0.2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 s="1">
        <f t="shared" si="92"/>
        <v>549.79</v>
      </c>
      <c r="H2989" s="1" t="str">
        <f>_xlfn.XLOOKUP(C2989,Product!A:A,Product!B:B,"not found",0)</f>
        <v>Electra Townie Original 21D - 2016</v>
      </c>
      <c r="I2989" s="1">
        <f t="shared" si="93"/>
        <v>549.79</v>
      </c>
    </row>
    <row r="2990" spans="1:9" x14ac:dyDescent="0.2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 s="1">
        <f t="shared" si="92"/>
        <v>879.91</v>
      </c>
      <c r="H2990" s="1" t="str">
        <f>_xlfn.XLOOKUP(C2990,Product!A:A,Product!B:B,"not found",0)</f>
        <v>Electra Cruiser Lux 1 - 2017</v>
      </c>
      <c r="I2990" s="1">
        <f t="shared" si="93"/>
        <v>879.91</v>
      </c>
    </row>
    <row r="2991" spans="1:9" x14ac:dyDescent="0.2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 s="1">
        <f t="shared" si="92"/>
        <v>999.92</v>
      </c>
      <c r="H2991" s="1" t="str">
        <f>_xlfn.XLOOKUP(C2991,Product!A:A,Product!B:B,"not found",0)</f>
        <v>Surly Wednesday Frameset - 2016</v>
      </c>
      <c r="I2991" s="1">
        <f t="shared" si="93"/>
        <v>999.92</v>
      </c>
    </row>
    <row r="2992" spans="1:9" x14ac:dyDescent="0.2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 s="1">
        <f t="shared" si="92"/>
        <v>693.78</v>
      </c>
      <c r="H2992" s="1" t="str">
        <f>_xlfn.XLOOKUP(C2992,Product!A:A,Product!B:B,"not found",0)</f>
        <v>Sun Bicycles Lil Bolt Type-R - 2017</v>
      </c>
      <c r="I2992" s="1">
        <f t="shared" si="93"/>
        <v>693.78</v>
      </c>
    </row>
    <row r="2993" spans="1:9" x14ac:dyDescent="0.2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 s="1">
        <f t="shared" si="92"/>
        <v>209.92000000000002</v>
      </c>
      <c r="H2993" s="1" t="str">
        <f>_xlfn.XLOOKUP(C2993,Product!A:A,Product!B:B,"not found",0)</f>
        <v>Haro Shredder 20 - 2017</v>
      </c>
      <c r="I2993" s="1">
        <f t="shared" si="93"/>
        <v>209.92000000000002</v>
      </c>
    </row>
    <row r="2994" spans="1:9" x14ac:dyDescent="0.2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 s="1">
        <f t="shared" si="92"/>
        <v>219.92999999999998</v>
      </c>
      <c r="H2994" s="1" t="str">
        <f>_xlfn.XLOOKUP(C2994,Product!A:A,Product!B:B,"not found",0)</f>
        <v>Sun Bicycles Lil Kitt'n - 2017</v>
      </c>
      <c r="I2994" s="1">
        <f t="shared" si="93"/>
        <v>219.92999999999998</v>
      </c>
    </row>
    <row r="2995" spans="1:9" x14ac:dyDescent="0.2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 s="1">
        <f t="shared" si="92"/>
        <v>149.94</v>
      </c>
      <c r="H2995" s="1" t="str">
        <f>_xlfn.XLOOKUP(C2995,Product!A:A,Product!B:B,"not found",0)</f>
        <v>Trek Boy's Kickster - 2015/2017</v>
      </c>
      <c r="I2995" s="1">
        <f t="shared" si="93"/>
        <v>149.94</v>
      </c>
    </row>
    <row r="2996" spans="1:9" x14ac:dyDescent="0.2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 s="1">
        <f t="shared" si="92"/>
        <v>2999.9199999999996</v>
      </c>
      <c r="H2996" s="1" t="str">
        <f>_xlfn.XLOOKUP(C2996,Product!A:A,Product!B:B,"not found",0)</f>
        <v>Trek Conduit+ - 2016</v>
      </c>
      <c r="I2996" s="1">
        <f t="shared" si="93"/>
        <v>2999.9199999999996</v>
      </c>
    </row>
    <row r="2997" spans="1:9" x14ac:dyDescent="0.2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 s="1">
        <f t="shared" si="92"/>
        <v>897.8</v>
      </c>
      <c r="H2997" s="1" t="str">
        <f>_xlfn.XLOOKUP(C2997,Product!A:A,Product!B:B,"not found",0)</f>
        <v>Pure Cycles Western 3-Speed - Women's - 2015/2016</v>
      </c>
      <c r="I2997" s="1">
        <f t="shared" si="93"/>
        <v>897.8</v>
      </c>
    </row>
    <row r="2998" spans="1:9" x14ac:dyDescent="0.2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 s="1">
        <f t="shared" si="92"/>
        <v>349.89</v>
      </c>
      <c r="H2998" s="1" t="str">
        <f>_xlfn.XLOOKUP(C2998,Product!A:A,Product!B:B,"not found",0)</f>
        <v>Electra Savannah 3i (20-inch) - Girl's - 2017</v>
      </c>
      <c r="I2998" s="1">
        <f t="shared" si="93"/>
        <v>349.89</v>
      </c>
    </row>
    <row r="2999" spans="1:9" x14ac:dyDescent="0.2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 s="1">
        <f t="shared" si="92"/>
        <v>4999.78</v>
      </c>
      <c r="H2999" s="1" t="str">
        <f>_xlfn.XLOOKUP(C2999,Product!A:A,Product!B:B,"not found",0)</f>
        <v>Surly Karate Monkey 27.5+ Frameset - 2017</v>
      </c>
      <c r="I2999" s="1">
        <f t="shared" si="93"/>
        <v>4999.78</v>
      </c>
    </row>
    <row r="3000" spans="1:9" x14ac:dyDescent="0.2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 s="1">
        <f t="shared" si="92"/>
        <v>489.92</v>
      </c>
      <c r="H3000" s="1" t="str">
        <f>_xlfn.XLOOKUP(C3000,Product!A:A,Product!B:B,"not found",0)</f>
        <v>Electra Townie Original 7D - 2017</v>
      </c>
      <c r="I3000" s="1">
        <f t="shared" si="93"/>
        <v>489.92</v>
      </c>
    </row>
    <row r="3001" spans="1:9" x14ac:dyDescent="0.2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 s="1">
        <f t="shared" si="92"/>
        <v>1999.91</v>
      </c>
      <c r="H3001" s="1" t="str">
        <f>_xlfn.XLOOKUP(C3001,Product!A:A,Product!B:B,"not found",0)</f>
        <v>Surly Big Dummy Frameset - 2017</v>
      </c>
      <c r="I3001" s="1">
        <f t="shared" si="93"/>
        <v>1999.91</v>
      </c>
    </row>
    <row r="3002" spans="1:9" x14ac:dyDescent="0.2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 s="1">
        <f t="shared" si="92"/>
        <v>3599.93</v>
      </c>
      <c r="H3002" s="1" t="str">
        <f>_xlfn.XLOOKUP(C3002,Product!A:A,Product!B:B,"not found",0)</f>
        <v>Trek Remedy 29 Carbon Frameset - 2016</v>
      </c>
      <c r="I3002" s="1">
        <f t="shared" si="93"/>
        <v>3599.93</v>
      </c>
    </row>
    <row r="3003" spans="1:9" x14ac:dyDescent="0.2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 s="1">
        <f t="shared" si="92"/>
        <v>209.89000000000001</v>
      </c>
      <c r="H3003" s="1" t="str">
        <f>_xlfn.XLOOKUP(C3003,Product!A:A,Product!B:B,"not found",0)</f>
        <v>Trek Precaliber 16 Boys - 2017</v>
      </c>
      <c r="I3003" s="1">
        <f t="shared" si="93"/>
        <v>209.89000000000001</v>
      </c>
    </row>
    <row r="3004" spans="1:9" x14ac:dyDescent="0.2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 s="1">
        <f t="shared" si="92"/>
        <v>9999.91</v>
      </c>
      <c r="H3004" s="1" t="str">
        <f>_xlfn.XLOOKUP(C3004,Product!A:A,Product!B:B,"not found",0)</f>
        <v>Trek Powerfly 8 FS Plus - 2017</v>
      </c>
      <c r="I3004" s="1">
        <f t="shared" si="93"/>
        <v>9999.91</v>
      </c>
    </row>
    <row r="3005" spans="1:9" x14ac:dyDescent="0.2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 s="1">
        <f t="shared" si="92"/>
        <v>499.88</v>
      </c>
      <c r="H3005" s="1" t="str">
        <f>_xlfn.XLOOKUP(C3005,Product!A:A,Product!B:B,"not found",0)</f>
        <v>Haro Shredder Pro 20 - 2017</v>
      </c>
      <c r="I3005" s="1">
        <f t="shared" si="93"/>
        <v>499.88</v>
      </c>
    </row>
    <row r="3006" spans="1:9" x14ac:dyDescent="0.2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 s="1">
        <f t="shared" si="92"/>
        <v>299.89</v>
      </c>
      <c r="H3006" s="1" t="str">
        <f>_xlfn.XLOOKUP(C3006,Product!A:A,Product!B:B,"not found",0)</f>
        <v>Electra Girl's Hawaii 1 (20-inch) - 2015/2016</v>
      </c>
      <c r="I3006" s="1">
        <f t="shared" si="93"/>
        <v>299.89</v>
      </c>
    </row>
    <row r="3007" spans="1:9" x14ac:dyDescent="0.2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 s="1">
        <f t="shared" si="92"/>
        <v>5399.8799999999992</v>
      </c>
      <c r="H3007" s="1" t="str">
        <f>_xlfn.XLOOKUP(C3007,Product!A:A,Product!B:B,"not found",0)</f>
        <v>Trek Domane S 6 - 2017</v>
      </c>
      <c r="I3007" s="1">
        <f t="shared" si="93"/>
        <v>5399.8799999999992</v>
      </c>
    </row>
    <row r="3008" spans="1:9" x14ac:dyDescent="0.2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 s="1">
        <f t="shared" si="92"/>
        <v>599.91999999999996</v>
      </c>
      <c r="H3008" s="1" t="str">
        <f>_xlfn.XLOOKUP(C3008,Product!A:A,Product!B:B,"not found",0)</f>
        <v>Electra Townie Original 7D EQ - Women's - 2016</v>
      </c>
      <c r="I3008" s="1">
        <f t="shared" si="93"/>
        <v>599.91999999999996</v>
      </c>
    </row>
    <row r="3009" spans="1:9" x14ac:dyDescent="0.2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 s="1">
        <f t="shared" si="92"/>
        <v>699.88</v>
      </c>
      <c r="H3009" s="1" t="str">
        <f>_xlfn.XLOOKUP(C3009,Product!A:A,Product!B:B,"not found",0)</f>
        <v>Electra Savannah 3i (20-inch) - Girl's - 2017</v>
      </c>
      <c r="I3009" s="1">
        <f t="shared" si="93"/>
        <v>699.88</v>
      </c>
    </row>
    <row r="3010" spans="1:9" x14ac:dyDescent="0.2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 s="1">
        <f t="shared" si="92"/>
        <v>2499.9399999999996</v>
      </c>
      <c r="H3010" s="1" t="str">
        <f>_xlfn.XLOOKUP(C3010,Product!A:A,Product!B:B,"not found",0)</f>
        <v>Surly Karate Monkey 27.5+ Frameset - 2017</v>
      </c>
      <c r="I3010" s="1">
        <f t="shared" si="93"/>
        <v>2499.9399999999996</v>
      </c>
    </row>
    <row r="3011" spans="1:9" x14ac:dyDescent="0.2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 s="1">
        <f t="shared" ref="G3011:G3074" si="94">(E3011*D3011)-F3011</f>
        <v>963.93000000000006</v>
      </c>
      <c r="H3011" s="1" t="str">
        <f>_xlfn.XLOOKUP(C3011,Product!A:A,Product!B:B,"not found",0)</f>
        <v>Sun Bicycles Streamway - 2017</v>
      </c>
      <c r="I3011" s="1">
        <f t="shared" ref="I3011:I3074" si="95">(D3011*E3011)-F3011</f>
        <v>963.93000000000006</v>
      </c>
    </row>
    <row r="3012" spans="1:9" x14ac:dyDescent="0.2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 s="1">
        <f t="shared" si="94"/>
        <v>1559.92</v>
      </c>
      <c r="H3012" s="1" t="str">
        <f>_xlfn.XLOOKUP(C3012,Product!A:A,Product!B:B,"not found",0)</f>
        <v>Sun Bicycles ElectroLite - 2017</v>
      </c>
      <c r="I3012" s="1">
        <f t="shared" si="95"/>
        <v>1559.92</v>
      </c>
    </row>
    <row r="3013" spans="1:9" x14ac:dyDescent="0.2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 s="1">
        <f t="shared" si="94"/>
        <v>402.92</v>
      </c>
      <c r="H3013" s="1" t="str">
        <f>_xlfn.XLOOKUP(C3013,Product!A:A,Product!B:B,"not found",0)</f>
        <v>Sun Bicycles Boardwalk (24-inch Wheels) - 2017</v>
      </c>
      <c r="I3013" s="1">
        <f t="shared" si="95"/>
        <v>402.92</v>
      </c>
    </row>
    <row r="3014" spans="1:9" x14ac:dyDescent="0.2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 s="1">
        <f t="shared" si="94"/>
        <v>469.92</v>
      </c>
      <c r="H3014" s="1" t="str">
        <f>_xlfn.XLOOKUP(C3014,Product!A:A,Product!B:B,"not found",0)</f>
        <v>Trek Farley Alloy Frameset - 2017</v>
      </c>
      <c r="I3014" s="1">
        <f t="shared" si="95"/>
        <v>469.92</v>
      </c>
    </row>
    <row r="3015" spans="1:9" x14ac:dyDescent="0.2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 s="1">
        <f t="shared" si="94"/>
        <v>2939.88</v>
      </c>
      <c r="H3015" s="1" t="str">
        <f>_xlfn.XLOOKUP(C3015,Product!A:A,Product!B:B,"not found",0)</f>
        <v>Haro Shift R3 - 2017</v>
      </c>
      <c r="I3015" s="1">
        <f t="shared" si="95"/>
        <v>2939.88</v>
      </c>
    </row>
    <row r="3016" spans="1:9" x14ac:dyDescent="0.2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 s="1">
        <f t="shared" si="94"/>
        <v>857.95</v>
      </c>
      <c r="H3016" s="1" t="str">
        <f>_xlfn.XLOOKUP(C3016,Product!A:A,Product!B:B,"not found",0)</f>
        <v>Pure Cycles Vine 8-Speed - 2016</v>
      </c>
      <c r="I3016" s="1">
        <f t="shared" si="95"/>
        <v>857.95</v>
      </c>
    </row>
    <row r="3017" spans="1:9" x14ac:dyDescent="0.2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 s="1">
        <f t="shared" si="94"/>
        <v>4999.8799999999992</v>
      </c>
      <c r="H3017" s="1" t="str">
        <f>_xlfn.XLOOKUP(C3017,Product!A:A,Product!B:B,"not found",0)</f>
        <v>Surly Karate Monkey 27.5+ Frameset - 2017</v>
      </c>
      <c r="I3017" s="1">
        <f t="shared" si="95"/>
        <v>4999.8799999999992</v>
      </c>
    </row>
    <row r="3018" spans="1:9" x14ac:dyDescent="0.2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 s="1">
        <f t="shared" si="94"/>
        <v>647.79</v>
      </c>
      <c r="H3018" s="1" t="str">
        <f>_xlfn.XLOOKUP(C3018,Product!A:A,Product!B:B,"not found",0)</f>
        <v>Sun Bicycles Biscayne Tandem CB - 2017</v>
      </c>
      <c r="I3018" s="1">
        <f t="shared" si="95"/>
        <v>647.79</v>
      </c>
    </row>
    <row r="3019" spans="1:9" x14ac:dyDescent="0.2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 s="1">
        <f t="shared" si="94"/>
        <v>832.94</v>
      </c>
      <c r="H3019" s="1" t="str">
        <f>_xlfn.XLOOKUP(C3019,Product!A:A,Product!B:B,"not found",0)</f>
        <v>Sun Bicycles Spider 3i - 2017</v>
      </c>
      <c r="I3019" s="1">
        <f t="shared" si="95"/>
        <v>832.94</v>
      </c>
    </row>
    <row r="3020" spans="1:9" x14ac:dyDescent="0.2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 s="1">
        <f t="shared" si="94"/>
        <v>3499.9399999999996</v>
      </c>
      <c r="H3020" s="1" t="str">
        <f>_xlfn.XLOOKUP(C3020,Product!A:A,Product!B:B,"not found",0)</f>
        <v>Trek Domane SL 6 - 2017</v>
      </c>
      <c r="I3020" s="1">
        <f t="shared" si="95"/>
        <v>3499.9399999999996</v>
      </c>
    </row>
    <row r="3021" spans="1:9" x14ac:dyDescent="0.2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 s="1">
        <f t="shared" si="94"/>
        <v>1999.88</v>
      </c>
      <c r="H3021" s="1" t="str">
        <f>_xlfn.XLOOKUP(C3021,Product!A:A,Product!B:B,"not found",0)</f>
        <v>Surly Wednesday Frameset - 2016</v>
      </c>
      <c r="I3021" s="1">
        <f t="shared" si="95"/>
        <v>1999.88</v>
      </c>
    </row>
    <row r="3022" spans="1:9" x14ac:dyDescent="0.2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 s="1">
        <f t="shared" si="94"/>
        <v>379.89</v>
      </c>
      <c r="H3022" s="1" t="str">
        <f>_xlfn.XLOOKUP(C3022,Product!A:A,Product!B:B,"not found",0)</f>
        <v>Haro Flightline One ST - 2017</v>
      </c>
      <c r="I3022" s="1">
        <f t="shared" si="95"/>
        <v>379.89</v>
      </c>
    </row>
    <row r="3023" spans="1:9" x14ac:dyDescent="0.2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 s="1">
        <f t="shared" si="94"/>
        <v>249.94</v>
      </c>
      <c r="H3023" s="1" t="str">
        <f>_xlfn.XLOOKUP(C3023,Product!A:A,Product!B:B,"not found",0)</f>
        <v>Haro Shredder Pro 20 - 2017</v>
      </c>
      <c r="I3023" s="1">
        <f t="shared" si="95"/>
        <v>249.94</v>
      </c>
    </row>
    <row r="3024" spans="1:9" x14ac:dyDescent="0.2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 s="1">
        <f t="shared" si="94"/>
        <v>2999.89</v>
      </c>
      <c r="H3024" s="1" t="str">
        <f>_xlfn.XLOOKUP(C3024,Product!A:A,Product!B:B,"not found",0)</f>
        <v>Trek Conduit+ - 2016</v>
      </c>
      <c r="I3024" s="1">
        <f t="shared" si="95"/>
        <v>2999.89</v>
      </c>
    </row>
    <row r="3025" spans="1:9" x14ac:dyDescent="0.2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 s="1">
        <f t="shared" si="94"/>
        <v>1665.93</v>
      </c>
      <c r="H3025" s="1" t="str">
        <f>_xlfn.XLOOKUP(C3025,Product!A:A,Product!B:B,"not found",0)</f>
        <v>Surly Troll Frameset - 2017</v>
      </c>
      <c r="I3025" s="1">
        <f t="shared" si="95"/>
        <v>1665.93</v>
      </c>
    </row>
    <row r="3026" spans="1:9" x14ac:dyDescent="0.2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 s="1">
        <f t="shared" si="94"/>
        <v>999.89</v>
      </c>
      <c r="H3026" s="1" t="str">
        <f>_xlfn.XLOOKUP(C3026,Product!A:A,Product!B:B,"not found",0)</f>
        <v>Surly Wednesday Frameset - 2016</v>
      </c>
      <c r="I3026" s="1">
        <f t="shared" si="95"/>
        <v>999.89</v>
      </c>
    </row>
    <row r="3027" spans="1:9" x14ac:dyDescent="0.2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 s="1">
        <f t="shared" si="94"/>
        <v>599.91999999999996</v>
      </c>
      <c r="H3027" s="1" t="str">
        <f>_xlfn.XLOOKUP(C3027,Product!A:A,Product!B:B,"not found",0)</f>
        <v>Electra Townie Original 7D EQ - 2016</v>
      </c>
      <c r="I3027" s="1">
        <f t="shared" si="95"/>
        <v>599.91999999999996</v>
      </c>
    </row>
    <row r="3028" spans="1:9" x14ac:dyDescent="0.2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 s="1">
        <f t="shared" si="94"/>
        <v>3097.95</v>
      </c>
      <c r="H3028" s="1" t="str">
        <f>_xlfn.XLOOKUP(C3028,Product!A:A,Product!B:B,"not found",0)</f>
        <v>Surly Straggler - 2016</v>
      </c>
      <c r="I3028" s="1">
        <f t="shared" si="95"/>
        <v>3097.95</v>
      </c>
    </row>
    <row r="3029" spans="1:9" x14ac:dyDescent="0.2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 s="1">
        <f t="shared" si="94"/>
        <v>699.91</v>
      </c>
      <c r="H3029" s="1" t="str">
        <f>_xlfn.XLOOKUP(C3029,Product!A:A,Product!B:B,"not found",0)</f>
        <v>Electra Moto 3i (20-inch) - Boy's - 2017</v>
      </c>
      <c r="I3029" s="1">
        <f t="shared" si="95"/>
        <v>699.91</v>
      </c>
    </row>
    <row r="3030" spans="1:9" x14ac:dyDescent="0.2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 s="1">
        <f t="shared" si="94"/>
        <v>599.88</v>
      </c>
      <c r="H3030" s="1" t="str">
        <f>_xlfn.XLOOKUP(C3030,Product!A:A,Product!B:B,"not found",0)</f>
        <v>Electra Sugar Skulls 1 (20-inch) - Girl's - 2017</v>
      </c>
      <c r="I3030" s="1">
        <f t="shared" si="95"/>
        <v>599.88</v>
      </c>
    </row>
    <row r="3031" spans="1:9" x14ac:dyDescent="0.2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 s="1">
        <f t="shared" si="94"/>
        <v>1739.78</v>
      </c>
      <c r="H3031" s="1" t="str">
        <f>_xlfn.XLOOKUP(C3031,Product!A:A,Product!B:B,"not found",0)</f>
        <v>Haro SR 1.2 - 2017</v>
      </c>
      <c r="I3031" s="1">
        <f t="shared" si="95"/>
        <v>1739.78</v>
      </c>
    </row>
    <row r="3032" spans="1:9" x14ac:dyDescent="0.2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 s="1">
        <f t="shared" si="94"/>
        <v>539.78</v>
      </c>
      <c r="H3032" s="1" t="str">
        <f>_xlfn.XLOOKUP(C3032,Product!A:A,Product!B:B,"not found",0)</f>
        <v>Electra Girl's Hawaii 1 (16-inch) - 2015/2016</v>
      </c>
      <c r="I3032" s="1">
        <f t="shared" si="95"/>
        <v>539.78</v>
      </c>
    </row>
    <row r="3033" spans="1:9" x14ac:dyDescent="0.2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 s="1">
        <f t="shared" si="94"/>
        <v>1409.79</v>
      </c>
      <c r="H3033" s="1" t="str">
        <f>_xlfn.XLOOKUP(C3033,Product!A:A,Product!B:B,"not found",0)</f>
        <v>Haro SR 1.3 - 2017</v>
      </c>
      <c r="I3033" s="1">
        <f t="shared" si="95"/>
        <v>1409.79</v>
      </c>
    </row>
    <row r="3034" spans="1:9" x14ac:dyDescent="0.2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 s="1">
        <f t="shared" si="94"/>
        <v>3999.9399999999996</v>
      </c>
      <c r="H3034" s="1" t="str">
        <f>_xlfn.XLOOKUP(C3034,Product!A:A,Product!B:B,"not found",0)</f>
        <v>Trek Slash 8 27.5 - 2016</v>
      </c>
      <c r="I3034" s="1">
        <f t="shared" si="95"/>
        <v>3999.9399999999996</v>
      </c>
    </row>
    <row r="3035" spans="1:9" x14ac:dyDescent="0.2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 s="1">
        <f t="shared" si="94"/>
        <v>551.94000000000005</v>
      </c>
      <c r="H3035" s="1" t="str">
        <f>_xlfn.XLOOKUP(C3035,Product!A:A,Product!B:B,"not found",0)</f>
        <v>Sun Bicycles Streamway 3 - 2017</v>
      </c>
      <c r="I3035" s="1">
        <f t="shared" si="95"/>
        <v>551.94000000000005</v>
      </c>
    </row>
    <row r="3036" spans="1:9" x14ac:dyDescent="0.2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 s="1">
        <f t="shared" si="94"/>
        <v>1199.9100000000001</v>
      </c>
      <c r="H3036" s="1" t="str">
        <f>_xlfn.XLOOKUP(C3036,Product!A:A,Product!B:B,"not found",0)</f>
        <v>Electra Townie Original 7D EQ - 2016</v>
      </c>
      <c r="I3036" s="1">
        <f t="shared" si="95"/>
        <v>1199.9100000000001</v>
      </c>
    </row>
    <row r="3037" spans="1:9" x14ac:dyDescent="0.2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 s="1">
        <f t="shared" si="94"/>
        <v>6999.9299999999994</v>
      </c>
      <c r="H3037" s="1" t="str">
        <f>_xlfn.XLOOKUP(C3037,Product!A:A,Product!B:B,"not found",0)</f>
        <v>Trek Domane SL 6 - 2017</v>
      </c>
      <c r="I3037" s="1">
        <f t="shared" si="95"/>
        <v>6999.9299999999994</v>
      </c>
    </row>
    <row r="3038" spans="1:9" x14ac:dyDescent="0.2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 s="1">
        <f t="shared" si="94"/>
        <v>1199.78</v>
      </c>
      <c r="H3038" s="1" t="str">
        <f>_xlfn.XLOOKUP(C3038,Product!A:A,Product!B:B,"not found",0)</f>
        <v>Electra Townie Original 7D EQ - 2016</v>
      </c>
      <c r="I3038" s="1">
        <f t="shared" si="95"/>
        <v>1199.78</v>
      </c>
    </row>
    <row r="3039" spans="1:9" x14ac:dyDescent="0.2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 s="1">
        <f t="shared" si="94"/>
        <v>599.78</v>
      </c>
      <c r="H3039" s="1" t="str">
        <f>_xlfn.XLOOKUP(C3039,Product!A:A,Product!B:B,"not found",0)</f>
        <v>Electra Girl's Hawaii 1 (20-inch) - 2015/2016</v>
      </c>
      <c r="I3039" s="1">
        <f t="shared" si="95"/>
        <v>599.78</v>
      </c>
    </row>
    <row r="3040" spans="1:9" x14ac:dyDescent="0.2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 s="1">
        <f t="shared" si="94"/>
        <v>449.89</v>
      </c>
      <c r="H3040" s="1" t="str">
        <f>_xlfn.XLOOKUP(C3040,Product!A:A,Product!B:B,"not found",0)</f>
        <v>Sun Bicycles Cruz 3 - 2017</v>
      </c>
      <c r="I3040" s="1">
        <f t="shared" si="95"/>
        <v>449.89</v>
      </c>
    </row>
    <row r="3041" spans="1:9" x14ac:dyDescent="0.2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 s="1">
        <f t="shared" si="94"/>
        <v>1499.93</v>
      </c>
      <c r="H3041" s="1" t="str">
        <f>_xlfn.XLOOKUP(C3041,Product!A:A,Product!B:B,"not found",0)</f>
        <v>Sun Bicycles Brickell Tandem 7 - 2017</v>
      </c>
      <c r="I3041" s="1">
        <f t="shared" si="95"/>
        <v>1499.93</v>
      </c>
    </row>
    <row r="3042" spans="1:9" x14ac:dyDescent="0.2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 s="1">
        <f t="shared" si="94"/>
        <v>1665.88</v>
      </c>
      <c r="H3042" s="1" t="str">
        <f>_xlfn.XLOOKUP(C3042,Product!A:A,Product!B:B,"not found",0)</f>
        <v>Surly Troll Frameset - 2017</v>
      </c>
      <c r="I3042" s="1">
        <f t="shared" si="95"/>
        <v>1665.88</v>
      </c>
    </row>
    <row r="3043" spans="1:9" x14ac:dyDescent="0.2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 s="1">
        <f t="shared" si="94"/>
        <v>599.94000000000005</v>
      </c>
      <c r="H3043" s="1" t="str">
        <f>_xlfn.XLOOKUP(C3043,Product!A:A,Product!B:B,"not found",0)</f>
        <v>Electra Townie Original 7D EQ - 2016</v>
      </c>
      <c r="I3043" s="1">
        <f t="shared" si="95"/>
        <v>599.94000000000005</v>
      </c>
    </row>
    <row r="3044" spans="1:9" x14ac:dyDescent="0.2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 s="1">
        <f t="shared" si="94"/>
        <v>10599.91</v>
      </c>
      <c r="H3044" s="1" t="str">
        <f>_xlfn.XLOOKUP(C3044,Product!A:A,Product!B:B,"not found",0)</f>
        <v>Trek Fuel EX 9.8 27.5 Plus - 2017</v>
      </c>
      <c r="I3044" s="1">
        <f t="shared" si="95"/>
        <v>10599.91</v>
      </c>
    </row>
    <row r="3045" spans="1:9" x14ac:dyDescent="0.2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 s="1">
        <f t="shared" si="94"/>
        <v>679.78</v>
      </c>
      <c r="H3045" s="1" t="str">
        <f>_xlfn.XLOOKUP(C3045,Product!A:A,Product!B:B,"not found",0)</f>
        <v>Electra Townie 7D (20-inch) - Boys' - 2017</v>
      </c>
      <c r="I3045" s="1">
        <f t="shared" si="95"/>
        <v>679.78</v>
      </c>
    </row>
    <row r="3046" spans="1:9" x14ac:dyDescent="0.2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 s="1">
        <f t="shared" si="94"/>
        <v>1099.8800000000001</v>
      </c>
      <c r="H3046" s="1" t="str">
        <f>_xlfn.XLOOKUP(C3046,Product!A:A,Product!B:B,"not found",0)</f>
        <v>Electra Townie Original 21D - 2016</v>
      </c>
      <c r="I3046" s="1">
        <f t="shared" si="95"/>
        <v>1099.8800000000001</v>
      </c>
    </row>
    <row r="3047" spans="1:9" x14ac:dyDescent="0.2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 s="1">
        <f t="shared" si="94"/>
        <v>299.88</v>
      </c>
      <c r="H3047" s="1" t="str">
        <f>_xlfn.XLOOKUP(C3047,Product!A:A,Product!B:B,"not found",0)</f>
        <v>Trek Boy's Kickster - 2015/2017</v>
      </c>
      <c r="I3047" s="1">
        <f t="shared" si="95"/>
        <v>299.88</v>
      </c>
    </row>
    <row r="3048" spans="1:9" x14ac:dyDescent="0.2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 s="1">
        <f t="shared" si="94"/>
        <v>1559.79</v>
      </c>
      <c r="H3048" s="1" t="str">
        <f>_xlfn.XLOOKUP(C3048,Product!A:A,Product!B:B,"not found",0)</f>
        <v>Sun Bicycles ElectroLite - 2017</v>
      </c>
      <c r="I3048" s="1">
        <f t="shared" si="95"/>
        <v>1559.79</v>
      </c>
    </row>
    <row r="3049" spans="1:9" x14ac:dyDescent="0.2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 s="1">
        <f t="shared" si="94"/>
        <v>999.94</v>
      </c>
      <c r="H3049" s="1" t="str">
        <f>_xlfn.XLOOKUP(C3049,Product!A:A,Product!B:B,"not found",0)</f>
        <v>Surly Wednesday Frameset - 2016</v>
      </c>
      <c r="I3049" s="1">
        <f t="shared" si="95"/>
        <v>999.94</v>
      </c>
    </row>
    <row r="3050" spans="1:9" x14ac:dyDescent="0.2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 s="1">
        <f t="shared" si="94"/>
        <v>533.79</v>
      </c>
      <c r="H3050" s="1" t="str">
        <f>_xlfn.XLOOKUP(C3050,Product!A:A,Product!B:B,"not found",0)</f>
        <v>Sun Bicycles Streamway 7 - 2017</v>
      </c>
      <c r="I3050" s="1">
        <f t="shared" si="95"/>
        <v>533.79</v>
      </c>
    </row>
    <row r="3051" spans="1:9" x14ac:dyDescent="0.2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 s="1">
        <f t="shared" si="94"/>
        <v>349.94</v>
      </c>
      <c r="H3051" s="1" t="str">
        <f>_xlfn.XLOOKUP(C3051,Product!A:A,Product!B:B,"not found",0)</f>
        <v>Electra Savannah 3i (20-inch) - Girl's - 2017</v>
      </c>
      <c r="I3051" s="1">
        <f t="shared" si="95"/>
        <v>349.94</v>
      </c>
    </row>
    <row r="3052" spans="1:9" x14ac:dyDescent="0.2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 s="1">
        <f t="shared" si="94"/>
        <v>979.93000000000006</v>
      </c>
      <c r="H3052" s="1" t="str">
        <f>_xlfn.XLOOKUP(C3052,Product!A:A,Product!B:B,"not found",0)</f>
        <v>Electra Straight 8 3i (20-inch) - Boy's - 2017</v>
      </c>
      <c r="I3052" s="1">
        <f t="shared" si="95"/>
        <v>979.93000000000006</v>
      </c>
    </row>
    <row r="3053" spans="1:9" x14ac:dyDescent="0.2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 s="1">
        <f t="shared" si="94"/>
        <v>5299.8899999999994</v>
      </c>
      <c r="H3053" s="1" t="str">
        <f>_xlfn.XLOOKUP(C3053,Product!A:A,Product!B:B,"not found",0)</f>
        <v>Trek Fuel EX 9.8 27.5 Plus - 2017</v>
      </c>
      <c r="I3053" s="1">
        <f t="shared" si="95"/>
        <v>5299.8899999999994</v>
      </c>
    </row>
    <row r="3054" spans="1:9" x14ac:dyDescent="0.2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 s="1">
        <f t="shared" si="94"/>
        <v>1999.93</v>
      </c>
      <c r="H3054" s="1" t="str">
        <f>_xlfn.XLOOKUP(C3054,Product!A:A,Product!B:B,"not found",0)</f>
        <v>Trek X-Caliber 8 - 2017</v>
      </c>
      <c r="I3054" s="1">
        <f t="shared" si="95"/>
        <v>1999.93</v>
      </c>
    </row>
    <row r="3055" spans="1:9" x14ac:dyDescent="0.2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 s="1">
        <f t="shared" si="94"/>
        <v>551.91999999999996</v>
      </c>
      <c r="H3055" s="1" t="str">
        <f>_xlfn.XLOOKUP(C3055,Product!A:A,Product!B:B,"not found",0)</f>
        <v>Sun Bicycles Streamway 3 - 2017</v>
      </c>
      <c r="I3055" s="1">
        <f t="shared" si="95"/>
        <v>551.91999999999996</v>
      </c>
    </row>
    <row r="3056" spans="1:9" x14ac:dyDescent="0.2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 s="1">
        <f t="shared" si="94"/>
        <v>2819.93</v>
      </c>
      <c r="H3056" s="1" t="str">
        <f>_xlfn.XLOOKUP(C3056,Product!A:A,Product!B:B,"not found",0)</f>
        <v>Haro SR 1.3 - 2017</v>
      </c>
      <c r="I3056" s="1">
        <f t="shared" si="95"/>
        <v>2819.93</v>
      </c>
    </row>
    <row r="3057" spans="1:9" x14ac:dyDescent="0.2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 s="1">
        <f t="shared" si="94"/>
        <v>3999.89</v>
      </c>
      <c r="H3057" s="1" t="str">
        <f>_xlfn.XLOOKUP(C3057,Product!A:A,Product!B:B,"not found",0)</f>
        <v>Trek Slash 8 27.5 - 2016</v>
      </c>
      <c r="I3057" s="1">
        <f t="shared" si="95"/>
        <v>3999.89</v>
      </c>
    </row>
    <row r="3058" spans="1:9" x14ac:dyDescent="0.2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 s="1">
        <f t="shared" si="94"/>
        <v>269.92</v>
      </c>
      <c r="H3058" s="1" t="str">
        <f>_xlfn.XLOOKUP(C3058,Product!A:A,Product!B:B,"not found",0)</f>
        <v>Electra Cruiser 1 (24-Inch) - 2016</v>
      </c>
      <c r="I3058" s="1">
        <f t="shared" si="95"/>
        <v>269.92</v>
      </c>
    </row>
    <row r="3059" spans="1:9" x14ac:dyDescent="0.2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 s="1">
        <f t="shared" si="94"/>
        <v>3999.9199999999996</v>
      </c>
      <c r="H3059" s="1" t="str">
        <f>_xlfn.XLOOKUP(C3059,Product!A:A,Product!B:B,"not found",0)</f>
        <v>Trek Slash 8 27.5 - 2016</v>
      </c>
      <c r="I3059" s="1">
        <f t="shared" si="95"/>
        <v>3999.9199999999996</v>
      </c>
    </row>
    <row r="3060" spans="1:9" x14ac:dyDescent="0.2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 s="1">
        <f t="shared" si="94"/>
        <v>3361.91</v>
      </c>
      <c r="H3060" s="1" t="str">
        <f>_xlfn.XLOOKUP(C3060,Product!A:A,Product!B:B,"not found",0)</f>
        <v>Surly Straggler 650b - 2016</v>
      </c>
      <c r="I3060" s="1">
        <f t="shared" si="95"/>
        <v>3361.91</v>
      </c>
    </row>
    <row r="3061" spans="1:9" x14ac:dyDescent="0.2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 s="1">
        <f t="shared" si="94"/>
        <v>9999.8799999999992</v>
      </c>
      <c r="H3061" s="1" t="str">
        <f>_xlfn.XLOOKUP(C3061,Product!A:A,Product!B:B,"not found",0)</f>
        <v>Trek Powerfly 8 FS Plus - 2017</v>
      </c>
      <c r="I3061" s="1">
        <f t="shared" si="95"/>
        <v>9999.8799999999992</v>
      </c>
    </row>
    <row r="3062" spans="1:9" x14ac:dyDescent="0.2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 s="1">
        <f t="shared" si="94"/>
        <v>1999.93</v>
      </c>
      <c r="H3062" s="1" t="str">
        <f>_xlfn.XLOOKUP(C3062,Product!A:A,Product!B:B,"not found",0)</f>
        <v>Surly Ice Cream Truck Frameset - 2017</v>
      </c>
      <c r="I3062" s="1">
        <f t="shared" si="95"/>
        <v>1999.93</v>
      </c>
    </row>
    <row r="3063" spans="1:9" x14ac:dyDescent="0.2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 s="1">
        <f t="shared" si="94"/>
        <v>269.92</v>
      </c>
      <c r="H3063" s="1" t="str">
        <f>_xlfn.XLOOKUP(C3063,Product!A:A,Product!B:B,"not found",0)</f>
        <v>Electra Girl's Hawaii 1 (16-inch) - 2015/2016</v>
      </c>
      <c r="I3063" s="1">
        <f t="shared" si="95"/>
        <v>269.92</v>
      </c>
    </row>
    <row r="3064" spans="1:9" x14ac:dyDescent="0.2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 s="1">
        <f t="shared" si="94"/>
        <v>448.9</v>
      </c>
      <c r="H3064" s="1" t="str">
        <f>_xlfn.XLOOKUP(C3064,Product!A:A,Product!B:B,"not found",0)</f>
        <v>Pure Cycles William 3-Speed - 2016</v>
      </c>
      <c r="I3064" s="1">
        <f t="shared" si="95"/>
        <v>448.9</v>
      </c>
    </row>
    <row r="3065" spans="1:9" x14ac:dyDescent="0.2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 s="1">
        <f t="shared" si="94"/>
        <v>269.94</v>
      </c>
      <c r="H3065" s="1" t="str">
        <f>_xlfn.XLOOKUP(C3065,Product!A:A,Product!B:B,"not found",0)</f>
        <v>Electra Cruiser 1 (24-Inch) - 2016</v>
      </c>
      <c r="I3065" s="1">
        <f t="shared" si="95"/>
        <v>269.94</v>
      </c>
    </row>
    <row r="3066" spans="1:9" x14ac:dyDescent="0.2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 s="1">
        <f t="shared" si="94"/>
        <v>941.78</v>
      </c>
      <c r="H3066" s="1" t="str">
        <f>_xlfn.XLOOKUP(C3066,Product!A:A,Product!B:B,"not found",0)</f>
        <v>Sun Bicycles Drifter 7 - Women's - 2017</v>
      </c>
      <c r="I3066" s="1">
        <f t="shared" si="95"/>
        <v>941.78</v>
      </c>
    </row>
    <row r="3067" spans="1:9" x14ac:dyDescent="0.2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 s="1">
        <f t="shared" si="94"/>
        <v>1320.94</v>
      </c>
      <c r="H3067" s="1" t="str">
        <f>_xlfn.XLOOKUP(C3067,Product!A:A,Product!B:B,"not found",0)</f>
        <v>Heller Shagamaw Frame - 2016</v>
      </c>
      <c r="I3067" s="1">
        <f t="shared" si="95"/>
        <v>1320.94</v>
      </c>
    </row>
    <row r="3068" spans="1:9" x14ac:dyDescent="0.2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 s="1">
        <f t="shared" si="94"/>
        <v>549.79</v>
      </c>
      <c r="H3068" s="1" t="str">
        <f>_xlfn.XLOOKUP(C3068,Product!A:A,Product!B:B,"not found",0)</f>
        <v>Electra Townie Original 21D - 2016</v>
      </c>
      <c r="I3068" s="1">
        <f t="shared" si="95"/>
        <v>549.79</v>
      </c>
    </row>
    <row r="3069" spans="1:9" x14ac:dyDescent="0.2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 s="1">
        <f t="shared" si="94"/>
        <v>939.88</v>
      </c>
      <c r="H3069" s="1" t="str">
        <f>_xlfn.XLOOKUP(C3069,Product!A:A,Product!B:B,"not found",0)</f>
        <v>Surly Wednesday Frameset - 2017</v>
      </c>
      <c r="I3069" s="1">
        <f t="shared" si="95"/>
        <v>939.88</v>
      </c>
    </row>
    <row r="3070" spans="1:9" x14ac:dyDescent="0.2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 s="1">
        <f t="shared" si="94"/>
        <v>979.91</v>
      </c>
      <c r="H3070" s="1" t="str">
        <f>_xlfn.XLOOKUP(C3070,Product!A:A,Product!B:B,"not found",0)</f>
        <v>Electra Townie 3i EQ (20-inch) - Boys' - 2017</v>
      </c>
      <c r="I3070" s="1">
        <f t="shared" si="95"/>
        <v>979.91</v>
      </c>
    </row>
    <row r="3071" spans="1:9" x14ac:dyDescent="0.2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 s="1">
        <f t="shared" si="94"/>
        <v>1239.78</v>
      </c>
      <c r="H3071" s="1" t="str">
        <f>_xlfn.XLOOKUP(C3071,Product!A:A,Product!B:B,"not found",0)</f>
        <v>Sun Bicycles Biscayne Tandem 7 - 2017</v>
      </c>
      <c r="I3071" s="1">
        <f t="shared" si="95"/>
        <v>1239.78</v>
      </c>
    </row>
    <row r="3072" spans="1:9" x14ac:dyDescent="0.2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 s="1">
        <f t="shared" si="94"/>
        <v>448.93</v>
      </c>
      <c r="H3072" s="1" t="str">
        <f>_xlfn.XLOOKUP(C3072,Product!A:A,Product!B:B,"not found",0)</f>
        <v>Pure Cycles Western 3-Speed - Women's - 2015/2016</v>
      </c>
      <c r="I3072" s="1">
        <f t="shared" si="95"/>
        <v>448.93</v>
      </c>
    </row>
    <row r="3073" spans="1:9" x14ac:dyDescent="0.2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 s="1">
        <f t="shared" si="94"/>
        <v>3499.89</v>
      </c>
      <c r="H3073" s="1" t="str">
        <f>_xlfn.XLOOKUP(C3073,Product!A:A,Product!B:B,"not found",0)</f>
        <v>Trek Domane SL 6 - 2017</v>
      </c>
      <c r="I3073" s="1">
        <f t="shared" si="95"/>
        <v>3499.89</v>
      </c>
    </row>
    <row r="3074" spans="1:9" x14ac:dyDescent="0.2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 s="1">
        <f t="shared" si="94"/>
        <v>2999.91</v>
      </c>
      <c r="H3074" s="1" t="str">
        <f>_xlfn.XLOOKUP(C3074,Product!A:A,Product!B:B,"not found",0)</f>
        <v>Trek Emonda S 4 - 2017</v>
      </c>
      <c r="I3074" s="1">
        <f t="shared" si="95"/>
        <v>2999.91</v>
      </c>
    </row>
    <row r="3075" spans="1:9" x14ac:dyDescent="0.2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 s="1">
        <f t="shared" ref="G3075:G3138" si="96">(E3075*D3075)-F3075</f>
        <v>1103.93</v>
      </c>
      <c r="H3075" s="1" t="str">
        <f>_xlfn.XLOOKUP(C3075,Product!A:A,Product!B:B,"not found",0)</f>
        <v>Sun Bicycles Streamway 3 - 2017</v>
      </c>
      <c r="I3075" s="1">
        <f t="shared" ref="I3075:I3138" si="97">(D3075*E3075)-F3075</f>
        <v>1103.93</v>
      </c>
    </row>
    <row r="3076" spans="1:9" x14ac:dyDescent="0.2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 s="1">
        <f t="shared" si="96"/>
        <v>3499.9199999999996</v>
      </c>
      <c r="H3076" s="1" t="str">
        <f>_xlfn.XLOOKUP(C3076,Product!A:A,Product!B:B,"not found",0)</f>
        <v>Trek Boone Race Shop Limited - 2017</v>
      </c>
      <c r="I3076" s="1">
        <f t="shared" si="97"/>
        <v>3499.9199999999996</v>
      </c>
    </row>
    <row r="3077" spans="1:9" x14ac:dyDescent="0.2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 s="1">
        <f t="shared" si="96"/>
        <v>1059.93</v>
      </c>
      <c r="H3077" s="1" t="str">
        <f>_xlfn.XLOOKUP(C3077,Product!A:A,Product!B:B,"not found",0)</f>
        <v>Electra Moto 1 - 2016</v>
      </c>
      <c r="I3077" s="1">
        <f t="shared" si="97"/>
        <v>1059.93</v>
      </c>
    </row>
    <row r="3078" spans="1:9" x14ac:dyDescent="0.2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 s="1">
        <f t="shared" si="96"/>
        <v>1409.89</v>
      </c>
      <c r="H3078" s="1" t="str">
        <f>_xlfn.XLOOKUP(C3078,Product!A:A,Product!B:B,"not found",0)</f>
        <v>Haro SR 1.3 - 2017</v>
      </c>
      <c r="I3078" s="1">
        <f t="shared" si="97"/>
        <v>1409.89</v>
      </c>
    </row>
    <row r="3079" spans="1:9" x14ac:dyDescent="0.2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 s="1">
        <f t="shared" si="96"/>
        <v>549.89</v>
      </c>
      <c r="H3079" s="1" t="str">
        <f>_xlfn.XLOOKUP(C3079,Product!A:A,Product!B:B,"not found",0)</f>
        <v>Electra Townie Original 21D - 2016</v>
      </c>
      <c r="I3079" s="1">
        <f t="shared" si="97"/>
        <v>549.89</v>
      </c>
    </row>
    <row r="3080" spans="1:9" x14ac:dyDescent="0.2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 s="1">
        <f t="shared" si="96"/>
        <v>879.91</v>
      </c>
      <c r="H3080" s="1" t="str">
        <f>_xlfn.XLOOKUP(C3080,Product!A:A,Product!B:B,"not found",0)</f>
        <v>Electra Cruiser Lux 1 - 2017</v>
      </c>
      <c r="I3080" s="1">
        <f t="shared" si="97"/>
        <v>879.91</v>
      </c>
    </row>
    <row r="3081" spans="1:9" x14ac:dyDescent="0.2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 s="1">
        <f t="shared" si="96"/>
        <v>5999.78</v>
      </c>
      <c r="H3081" s="1" t="str">
        <f>_xlfn.XLOOKUP(C3081,Product!A:A,Product!B:B,"not found",0)</f>
        <v>Trek Conduit+ - 2016</v>
      </c>
      <c r="I3081" s="1">
        <f t="shared" si="97"/>
        <v>5999.78</v>
      </c>
    </row>
    <row r="3082" spans="1:9" x14ac:dyDescent="0.2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 s="1">
        <f t="shared" si="96"/>
        <v>1239.8800000000001</v>
      </c>
      <c r="H3082" s="1" t="str">
        <f>_xlfn.XLOOKUP(C3082,Product!A:A,Product!B:B,"not found",0)</f>
        <v>Sun Bicycles Biscayne Tandem 7 - 2017</v>
      </c>
      <c r="I3082" s="1">
        <f t="shared" si="97"/>
        <v>1239.8800000000001</v>
      </c>
    </row>
    <row r="3083" spans="1:9" x14ac:dyDescent="0.2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 s="1">
        <f t="shared" si="96"/>
        <v>939.78</v>
      </c>
      <c r="H3083" s="1" t="str">
        <f>_xlfn.XLOOKUP(C3083,Product!A:A,Product!B:B,"not found",0)</f>
        <v>Surly Ice Cream Truck Frameset - 2016</v>
      </c>
      <c r="I3083" s="1">
        <f t="shared" si="97"/>
        <v>939.78</v>
      </c>
    </row>
    <row r="3084" spans="1:9" x14ac:dyDescent="0.2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 s="1">
        <f t="shared" si="96"/>
        <v>379.78000000000003</v>
      </c>
      <c r="H3084" s="1" t="str">
        <f>_xlfn.XLOOKUP(C3084,Product!A:A,Product!B:B,"not found",0)</f>
        <v>Trek Precaliber 12 Boys - 2017</v>
      </c>
      <c r="I3084" s="1">
        <f t="shared" si="97"/>
        <v>379.78000000000003</v>
      </c>
    </row>
    <row r="3085" spans="1:9" x14ac:dyDescent="0.2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 s="1">
        <f t="shared" si="96"/>
        <v>659.79</v>
      </c>
      <c r="H3085" s="1" t="str">
        <f>_xlfn.XLOOKUP(C3085,Product!A:A,Product!B:B,"not found",0)</f>
        <v>Electra Amsterdam Original 3i Ladies' - 2017</v>
      </c>
      <c r="I3085" s="1">
        <f t="shared" si="97"/>
        <v>659.79</v>
      </c>
    </row>
    <row r="3086" spans="1:9" x14ac:dyDescent="0.2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 s="1">
        <f t="shared" si="96"/>
        <v>6999.78</v>
      </c>
      <c r="H3086" s="1" t="str">
        <f>_xlfn.XLOOKUP(C3086,Product!A:A,Product!B:B,"not found",0)</f>
        <v>Trek Domane SL 6 - 2017</v>
      </c>
      <c r="I3086" s="1">
        <f t="shared" si="97"/>
        <v>6999.78</v>
      </c>
    </row>
    <row r="3087" spans="1:9" x14ac:dyDescent="0.2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 s="1">
        <f t="shared" si="96"/>
        <v>1739.78</v>
      </c>
      <c r="H3087" s="1" t="str">
        <f>_xlfn.XLOOKUP(C3087,Product!A:A,Product!B:B,"not found",0)</f>
        <v>Haro SR 1.2 - 2017</v>
      </c>
      <c r="I3087" s="1">
        <f t="shared" si="97"/>
        <v>1739.78</v>
      </c>
    </row>
    <row r="3088" spans="1:9" x14ac:dyDescent="0.2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 s="1">
        <f t="shared" si="96"/>
        <v>416.92</v>
      </c>
      <c r="H3088" s="1" t="str">
        <f>_xlfn.XLOOKUP(C3088,Product!A:A,Product!B:B,"not found",0)</f>
        <v>Sun Bicycles Cruz 7 - Women's - 2017</v>
      </c>
      <c r="I3088" s="1">
        <f t="shared" si="97"/>
        <v>416.92</v>
      </c>
    </row>
    <row r="3089" spans="1:9" x14ac:dyDescent="0.2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 s="1">
        <f t="shared" si="96"/>
        <v>209.89000000000001</v>
      </c>
      <c r="H3089" s="1" t="str">
        <f>_xlfn.XLOOKUP(C3089,Product!A:A,Product!B:B,"not found",0)</f>
        <v>Haro Shredder 20 Girls - 2017</v>
      </c>
      <c r="I3089" s="1">
        <f t="shared" si="97"/>
        <v>209.89000000000001</v>
      </c>
    </row>
    <row r="3090" spans="1:9" x14ac:dyDescent="0.2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 s="1">
        <f t="shared" si="96"/>
        <v>470.79</v>
      </c>
      <c r="H3090" s="1" t="str">
        <f>_xlfn.XLOOKUP(C3090,Product!A:A,Product!B:B,"not found",0)</f>
        <v>Sun Bicycles Drifter 7 - 2017</v>
      </c>
      <c r="I3090" s="1">
        <f t="shared" si="97"/>
        <v>470.79</v>
      </c>
    </row>
    <row r="3091" spans="1:9" x14ac:dyDescent="0.2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 s="1">
        <f t="shared" si="96"/>
        <v>897.9</v>
      </c>
      <c r="H3091" s="1" t="str">
        <f>_xlfn.XLOOKUP(C3091,Product!A:A,Product!B:B,"not found",0)</f>
        <v>Pure Cycles Western 3-Speed - Women's - 2015/2016</v>
      </c>
      <c r="I3091" s="1">
        <f t="shared" si="97"/>
        <v>897.9</v>
      </c>
    </row>
    <row r="3092" spans="1:9" x14ac:dyDescent="0.2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 s="1">
        <f t="shared" si="96"/>
        <v>249.94</v>
      </c>
      <c r="H3092" s="1" t="str">
        <f>_xlfn.XLOOKUP(C3092,Product!A:A,Product!B:B,"not found",0)</f>
        <v>Haro Shredder Pro 20 - 2017</v>
      </c>
      <c r="I3092" s="1">
        <f t="shared" si="97"/>
        <v>249.94</v>
      </c>
    </row>
    <row r="3093" spans="1:9" x14ac:dyDescent="0.2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 s="1">
        <f t="shared" si="96"/>
        <v>999.78</v>
      </c>
      <c r="H3093" s="1" t="str">
        <f>_xlfn.XLOOKUP(C3093,Product!A:A,Product!B:B,"not found",0)</f>
        <v>Electra Townie Original 7D - 2015/2016</v>
      </c>
      <c r="I3093" s="1">
        <f t="shared" si="97"/>
        <v>999.78</v>
      </c>
    </row>
    <row r="3094" spans="1:9" x14ac:dyDescent="0.2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 s="1">
        <f t="shared" si="96"/>
        <v>149.79000000000002</v>
      </c>
      <c r="H3094" s="1" t="str">
        <f>_xlfn.XLOOKUP(C3094,Product!A:A,Product!B:B,"not found",0)</f>
        <v>Trek Boy's Kickster - 2015/2017</v>
      </c>
      <c r="I3094" s="1">
        <f t="shared" si="97"/>
        <v>149.79000000000002</v>
      </c>
    </row>
    <row r="3095" spans="1:9" x14ac:dyDescent="0.2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 s="1">
        <f t="shared" si="96"/>
        <v>419.91</v>
      </c>
      <c r="H3095" s="1" t="str">
        <f>_xlfn.XLOOKUP(C3095,Product!A:A,Product!B:B,"not found",0)</f>
        <v>Trek Precaliber 16 Boys - 2017</v>
      </c>
      <c r="I3095" s="1">
        <f t="shared" si="97"/>
        <v>419.91</v>
      </c>
    </row>
    <row r="3096" spans="1:9" x14ac:dyDescent="0.2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 s="1">
        <f t="shared" si="96"/>
        <v>1665.91</v>
      </c>
      <c r="H3096" s="1" t="str">
        <f>_xlfn.XLOOKUP(C3096,Product!A:A,Product!B:B,"not found",0)</f>
        <v>Surly Troll Frameset - 2017</v>
      </c>
      <c r="I3096" s="1">
        <f t="shared" si="97"/>
        <v>1665.91</v>
      </c>
    </row>
    <row r="3097" spans="1:9" x14ac:dyDescent="0.2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 s="1">
        <f t="shared" si="96"/>
        <v>1099.79</v>
      </c>
      <c r="H3097" s="1" t="str">
        <f>_xlfn.XLOOKUP(C3097,Product!A:A,Product!B:B,"not found",0)</f>
        <v>Electra Amsterdam Fashion 7i Ladies' - 2017</v>
      </c>
      <c r="I3097" s="1">
        <f t="shared" si="97"/>
        <v>1099.79</v>
      </c>
    </row>
    <row r="3098" spans="1:9" x14ac:dyDescent="0.2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 s="1">
        <f t="shared" si="96"/>
        <v>269.92</v>
      </c>
      <c r="H3098" s="1" t="str">
        <f>_xlfn.XLOOKUP(C3098,Product!A:A,Product!B:B,"not found",0)</f>
        <v>Electra Cruiser 1 (24-Inch) - 2016</v>
      </c>
      <c r="I3098" s="1">
        <f t="shared" si="97"/>
        <v>269.92</v>
      </c>
    </row>
    <row r="3099" spans="1:9" x14ac:dyDescent="0.2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 s="1">
        <f t="shared" si="96"/>
        <v>599.79</v>
      </c>
      <c r="H3099" s="1" t="str">
        <f>_xlfn.XLOOKUP(C3099,Product!A:A,Product!B:B,"not found",0)</f>
        <v>Electra Townie Original 7D EQ - Women's - 2016</v>
      </c>
      <c r="I3099" s="1">
        <f t="shared" si="97"/>
        <v>599.79</v>
      </c>
    </row>
    <row r="3100" spans="1:9" x14ac:dyDescent="0.2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 s="1">
        <f t="shared" si="96"/>
        <v>2599.89</v>
      </c>
      <c r="H3100" s="1" t="str">
        <f>_xlfn.XLOOKUP(C3100,Product!A:A,Product!B:B,"not found",0)</f>
        <v>Trek Domane S 5 Disc - 2017</v>
      </c>
      <c r="I3100" s="1">
        <f t="shared" si="97"/>
        <v>2599.89</v>
      </c>
    </row>
    <row r="3101" spans="1:9" x14ac:dyDescent="0.2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 s="1">
        <f t="shared" si="96"/>
        <v>189.92000000000002</v>
      </c>
      <c r="H3101" s="1" t="str">
        <f>_xlfn.XLOOKUP(C3101,Product!A:A,Product!B:B,"not found",0)</f>
        <v>Trek Precaliber 12 Boys - 2017</v>
      </c>
      <c r="I3101" s="1">
        <f t="shared" si="97"/>
        <v>189.92000000000002</v>
      </c>
    </row>
    <row r="3102" spans="1:9" x14ac:dyDescent="0.2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 s="1">
        <f t="shared" si="96"/>
        <v>419.88</v>
      </c>
      <c r="H3102" s="1" t="str">
        <f>_xlfn.XLOOKUP(C3102,Product!A:A,Product!B:B,"not found",0)</f>
        <v>Trek Precaliber 16 Boys - 2017</v>
      </c>
      <c r="I3102" s="1">
        <f t="shared" si="97"/>
        <v>419.88</v>
      </c>
    </row>
    <row r="3103" spans="1:9" x14ac:dyDescent="0.2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 s="1">
        <f t="shared" si="96"/>
        <v>2999.88</v>
      </c>
      <c r="H3103" s="1" t="str">
        <f>_xlfn.XLOOKUP(C3103,Product!A:A,Product!B:B,"not found",0)</f>
        <v>Trek Emonda S 4 - 2017</v>
      </c>
      <c r="I3103" s="1">
        <f t="shared" si="97"/>
        <v>2999.88</v>
      </c>
    </row>
    <row r="3104" spans="1:9" x14ac:dyDescent="0.2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 s="1">
        <f t="shared" si="96"/>
        <v>941.93000000000006</v>
      </c>
      <c r="H3104" s="1" t="str">
        <f>_xlfn.XLOOKUP(C3104,Product!A:A,Product!B:B,"not found",0)</f>
        <v>Sun Bicycles Drifter 7 - Women's - 2017</v>
      </c>
      <c r="I3104" s="1">
        <f t="shared" si="97"/>
        <v>941.93000000000006</v>
      </c>
    </row>
    <row r="3105" spans="1:9" x14ac:dyDescent="0.2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 s="1">
        <f t="shared" si="96"/>
        <v>299.89</v>
      </c>
      <c r="H3105" s="1" t="str">
        <f>_xlfn.XLOOKUP(C3105,Product!A:A,Product!B:B,"not found",0)</f>
        <v>Electra Girl's Hawaii 1 16" - 2017</v>
      </c>
      <c r="I3105" s="1">
        <f t="shared" si="97"/>
        <v>299.89</v>
      </c>
    </row>
    <row r="3106" spans="1:9" x14ac:dyDescent="0.2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 s="1">
        <f t="shared" si="96"/>
        <v>489.92</v>
      </c>
      <c r="H3106" s="1" t="str">
        <f>_xlfn.XLOOKUP(C3106,Product!A:A,Product!B:B,"not found",0)</f>
        <v>Electra Townie Original 7D - 2017</v>
      </c>
      <c r="I3106" s="1">
        <f t="shared" si="97"/>
        <v>489.92</v>
      </c>
    </row>
    <row r="3107" spans="1:9" x14ac:dyDescent="0.2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 s="1">
        <f t="shared" si="96"/>
        <v>1499.91</v>
      </c>
      <c r="H3107" s="1" t="str">
        <f>_xlfn.XLOOKUP(C3107,Product!A:A,Product!B:B,"not found",0)</f>
        <v>Sun Bicycles Brickell Tandem 7 - 2017</v>
      </c>
      <c r="I3107" s="1">
        <f t="shared" si="97"/>
        <v>1499.91</v>
      </c>
    </row>
    <row r="3108" spans="1:9" x14ac:dyDescent="0.2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 s="1">
        <f t="shared" si="96"/>
        <v>3119.93</v>
      </c>
      <c r="H3108" s="1" t="str">
        <f>_xlfn.XLOOKUP(C3108,Product!A:A,Product!B:B,"not found",0)</f>
        <v>Sun Bicycles ElectroLite - 2017</v>
      </c>
      <c r="I3108" s="1">
        <f t="shared" si="97"/>
        <v>3119.93</v>
      </c>
    </row>
    <row r="3109" spans="1:9" x14ac:dyDescent="0.2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 s="1">
        <f t="shared" si="96"/>
        <v>599.91</v>
      </c>
      <c r="H3109" s="1" t="str">
        <f>_xlfn.XLOOKUP(C3109,Product!A:A,Product!B:B,"not found",0)</f>
        <v>Electra Girl's Hawaii 1 16" - 2017</v>
      </c>
      <c r="I3109" s="1">
        <f t="shared" si="97"/>
        <v>599.91</v>
      </c>
    </row>
    <row r="3110" spans="1:9" x14ac:dyDescent="0.2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 s="1">
        <f t="shared" si="96"/>
        <v>3119.78</v>
      </c>
      <c r="H3110" s="1" t="str">
        <f>_xlfn.XLOOKUP(C3110,Product!A:A,Product!B:B,"not found",0)</f>
        <v>Sun Bicycles ElectroLite - 2017</v>
      </c>
      <c r="I3110" s="1">
        <f t="shared" si="97"/>
        <v>3119.78</v>
      </c>
    </row>
    <row r="3111" spans="1:9" x14ac:dyDescent="0.2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 s="1">
        <f t="shared" si="96"/>
        <v>529.91999999999996</v>
      </c>
      <c r="H3111" s="1" t="str">
        <f>_xlfn.XLOOKUP(C3111,Product!A:A,Product!B:B,"not found",0)</f>
        <v>Electra Moto 1 - 2016</v>
      </c>
      <c r="I3111" s="1">
        <f t="shared" si="97"/>
        <v>529.91999999999996</v>
      </c>
    </row>
    <row r="3112" spans="1:9" x14ac:dyDescent="0.2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 s="1">
        <f t="shared" si="96"/>
        <v>3097.9</v>
      </c>
      <c r="H3112" s="1" t="str">
        <f>_xlfn.XLOOKUP(C3112,Product!A:A,Product!B:B,"not found",0)</f>
        <v>Surly Straggler - 2016</v>
      </c>
      <c r="I3112" s="1">
        <f t="shared" si="97"/>
        <v>3097.9</v>
      </c>
    </row>
    <row r="3113" spans="1:9" x14ac:dyDescent="0.2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 s="1">
        <f t="shared" si="96"/>
        <v>1239.78</v>
      </c>
      <c r="H3113" s="1" t="str">
        <f>_xlfn.XLOOKUP(C3113,Product!A:A,Product!B:B,"not found",0)</f>
        <v>Sun Bicycles Biscayne Tandem 7 - 2017</v>
      </c>
      <c r="I3113" s="1">
        <f t="shared" si="97"/>
        <v>1239.78</v>
      </c>
    </row>
    <row r="3114" spans="1:9" x14ac:dyDescent="0.2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 s="1">
        <f t="shared" si="96"/>
        <v>1319.91</v>
      </c>
      <c r="H3114" s="1" t="str">
        <f>_xlfn.XLOOKUP(C3114,Product!A:A,Product!B:B,"not found",0)</f>
        <v>Electra Amsterdam Original 3i - 2015/2017</v>
      </c>
      <c r="I3114" s="1">
        <f t="shared" si="97"/>
        <v>1319.91</v>
      </c>
    </row>
    <row r="3115" spans="1:9" x14ac:dyDescent="0.2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 s="1">
        <f t="shared" si="96"/>
        <v>1632.79</v>
      </c>
      <c r="H3115" s="1" t="str">
        <f>_xlfn.XLOOKUP(C3115,Product!A:A,Product!B:B,"not found",0)</f>
        <v>Surly Wednesday - 2017</v>
      </c>
      <c r="I3115" s="1">
        <f t="shared" si="97"/>
        <v>1632.79</v>
      </c>
    </row>
    <row r="3116" spans="1:9" x14ac:dyDescent="0.2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 s="1">
        <f t="shared" si="96"/>
        <v>4999.8899999999994</v>
      </c>
      <c r="H3116" s="1" t="str">
        <f>_xlfn.XLOOKUP(C3116,Product!A:A,Product!B:B,"not found",0)</f>
        <v>Trek Fuel EX 9.8 29 - 2017</v>
      </c>
      <c r="I3116" s="1">
        <f t="shared" si="97"/>
        <v>4999.8899999999994</v>
      </c>
    </row>
    <row r="3117" spans="1:9" x14ac:dyDescent="0.2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 s="1">
        <f t="shared" si="96"/>
        <v>5999.94</v>
      </c>
      <c r="H3117" s="1" t="str">
        <f>_xlfn.XLOOKUP(C3117,Product!A:A,Product!B:B,"not found",0)</f>
        <v>Trek Silque SLR 7 Women's - 2017</v>
      </c>
      <c r="I3117" s="1">
        <f t="shared" si="97"/>
        <v>5999.94</v>
      </c>
    </row>
    <row r="3118" spans="1:9" x14ac:dyDescent="0.2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 s="1">
        <f t="shared" si="96"/>
        <v>939.78</v>
      </c>
      <c r="H3118" s="1" t="str">
        <f>_xlfn.XLOOKUP(C3118,Product!A:A,Product!B:B,"not found",0)</f>
        <v>Trek Farley Alloy Frameset - 2017</v>
      </c>
      <c r="I3118" s="1">
        <f t="shared" si="97"/>
        <v>939.78</v>
      </c>
    </row>
    <row r="3119" spans="1:9" x14ac:dyDescent="0.2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 s="1">
        <f t="shared" si="96"/>
        <v>149.94</v>
      </c>
      <c r="H3119" s="1" t="str">
        <f>_xlfn.XLOOKUP(C3119,Product!A:A,Product!B:B,"not found",0)</f>
        <v>Trek Girl's Kickster - 2017</v>
      </c>
      <c r="I3119" s="1">
        <f t="shared" si="97"/>
        <v>149.94</v>
      </c>
    </row>
    <row r="3120" spans="1:9" x14ac:dyDescent="0.2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 s="1">
        <f t="shared" si="96"/>
        <v>1751.88</v>
      </c>
      <c r="H3120" s="1" t="str">
        <f>_xlfn.XLOOKUP(C3120,Product!A:A,Product!B:B,"not found",0)</f>
        <v>Surly Steamroller - 2017</v>
      </c>
      <c r="I3120" s="1">
        <f t="shared" si="97"/>
        <v>1751.88</v>
      </c>
    </row>
    <row r="3121" spans="1:9" x14ac:dyDescent="0.2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 s="1">
        <f t="shared" si="96"/>
        <v>1999.78</v>
      </c>
      <c r="H3121" s="1" t="str">
        <f>_xlfn.XLOOKUP(C3121,Product!A:A,Product!B:B,"not found",0)</f>
        <v>Trek X-Caliber 8 - 2017</v>
      </c>
      <c r="I3121" s="1">
        <f t="shared" si="97"/>
        <v>1999.78</v>
      </c>
    </row>
    <row r="3122" spans="1:9" x14ac:dyDescent="0.2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 s="1">
        <f t="shared" si="96"/>
        <v>693.78</v>
      </c>
      <c r="H3122" s="1" t="str">
        <f>_xlfn.XLOOKUP(C3122,Product!A:A,Product!B:B,"not found",0)</f>
        <v>Sun Bicycles Lil Bolt Type-R - 2017</v>
      </c>
      <c r="I3122" s="1">
        <f t="shared" si="97"/>
        <v>693.78</v>
      </c>
    </row>
    <row r="3123" spans="1:9" x14ac:dyDescent="0.2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 s="1">
        <f t="shared" si="96"/>
        <v>1599.88</v>
      </c>
      <c r="H3123" s="1" t="str">
        <f>_xlfn.XLOOKUP(C3123,Product!A:A,Product!B:B,"not found",0)</f>
        <v>Electra Glam Punk 3i Ladies' - 2017</v>
      </c>
      <c r="I3123" s="1">
        <f t="shared" si="97"/>
        <v>1599.88</v>
      </c>
    </row>
    <row r="3124" spans="1:9" x14ac:dyDescent="0.2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 s="1">
        <f t="shared" si="96"/>
        <v>4999.92</v>
      </c>
      <c r="H3124" s="1" t="str">
        <f>_xlfn.XLOOKUP(C3124,Product!A:A,Product!B:B,"not found",0)</f>
        <v>Trek Powerfly 8 FS Plus - 2017</v>
      </c>
      <c r="I3124" s="1">
        <f t="shared" si="97"/>
        <v>4999.92</v>
      </c>
    </row>
    <row r="3125" spans="1:9" x14ac:dyDescent="0.2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 s="1">
        <f t="shared" si="96"/>
        <v>469.79</v>
      </c>
      <c r="H3125" s="1" t="str">
        <f>_xlfn.XLOOKUP(C3125,Product!A:A,Product!B:B,"not found",0)</f>
        <v>Surly Wednesday Frameset - 2017</v>
      </c>
      <c r="I3125" s="1">
        <f t="shared" si="97"/>
        <v>469.79</v>
      </c>
    </row>
    <row r="3126" spans="1:9" x14ac:dyDescent="0.2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 s="1">
        <f t="shared" si="96"/>
        <v>999.94</v>
      </c>
      <c r="H3126" s="1" t="str">
        <f>_xlfn.XLOOKUP(C3126,Product!A:A,Product!B:B,"not found",0)</f>
        <v>Surly Ice Cream Truck Frameset - 2017</v>
      </c>
      <c r="I3126" s="1">
        <f t="shared" si="97"/>
        <v>999.94</v>
      </c>
    </row>
    <row r="3127" spans="1:9" x14ac:dyDescent="0.2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 s="1">
        <f t="shared" si="96"/>
        <v>659.94</v>
      </c>
      <c r="H3127" s="1" t="str">
        <f>_xlfn.XLOOKUP(C3127,Product!A:A,Product!B:B,"not found",0)</f>
        <v>Electra Amsterdam Original 3i - 2015/2017</v>
      </c>
      <c r="I3127" s="1">
        <f t="shared" si="97"/>
        <v>659.94</v>
      </c>
    </row>
    <row r="3128" spans="1:9" x14ac:dyDescent="0.2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 s="1">
        <f t="shared" si="96"/>
        <v>979.78</v>
      </c>
      <c r="H3128" s="1" t="str">
        <f>_xlfn.XLOOKUP(C3128,Product!A:A,Product!B:B,"not found",0)</f>
        <v>Electra Straight 8 3i (20-inch) - Boy's - 2017</v>
      </c>
      <c r="I3128" s="1">
        <f t="shared" si="97"/>
        <v>979.78</v>
      </c>
    </row>
    <row r="3129" spans="1:9" x14ac:dyDescent="0.2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 s="1">
        <f t="shared" si="96"/>
        <v>693.91</v>
      </c>
      <c r="H3129" s="1" t="str">
        <f>_xlfn.XLOOKUP(C3129,Product!A:A,Product!B:B,"not found",0)</f>
        <v>Sun Bicycles Lil Bolt Type-R - 2017</v>
      </c>
      <c r="I3129" s="1">
        <f t="shared" si="97"/>
        <v>693.91</v>
      </c>
    </row>
    <row r="3130" spans="1:9" x14ac:dyDescent="0.2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 s="1">
        <f t="shared" si="96"/>
        <v>1559.89</v>
      </c>
      <c r="H3130" s="1" t="str">
        <f>_xlfn.XLOOKUP(C3130,Product!A:A,Product!B:B,"not found",0)</f>
        <v>Sun Bicycles ElectroLite - 2017</v>
      </c>
      <c r="I3130" s="1">
        <f t="shared" si="97"/>
        <v>1559.89</v>
      </c>
    </row>
    <row r="3131" spans="1:9" x14ac:dyDescent="0.2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 s="1">
        <f t="shared" si="96"/>
        <v>501.78000000000003</v>
      </c>
      <c r="H3131" s="1" t="str">
        <f>_xlfn.XLOOKUP(C3131,Product!A:A,Product!B:B,"not found",0)</f>
        <v>Sun Bicycles Revolutions 24 - 2017</v>
      </c>
      <c r="I3131" s="1">
        <f t="shared" si="97"/>
        <v>501.78000000000003</v>
      </c>
    </row>
    <row r="3132" spans="1:9" x14ac:dyDescent="0.2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 s="1">
        <f t="shared" si="96"/>
        <v>489.89</v>
      </c>
      <c r="H3132" s="1" t="str">
        <f>_xlfn.XLOOKUP(C3132,Product!A:A,Product!B:B,"not found",0)</f>
        <v>Electra Townie Original 7D - 2017</v>
      </c>
      <c r="I3132" s="1">
        <f t="shared" si="97"/>
        <v>489.89</v>
      </c>
    </row>
    <row r="3133" spans="1:9" x14ac:dyDescent="0.2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 s="1">
        <f t="shared" si="96"/>
        <v>439.89</v>
      </c>
      <c r="H3133" s="1" t="str">
        <f>_xlfn.XLOOKUP(C3133,Product!A:A,Product!B:B,"not found",0)</f>
        <v>Electra Cruiser Lux 1 - 2017</v>
      </c>
      <c r="I3133" s="1">
        <f t="shared" si="97"/>
        <v>439.89</v>
      </c>
    </row>
    <row r="3134" spans="1:9" x14ac:dyDescent="0.2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 s="1">
        <f t="shared" si="96"/>
        <v>449.92</v>
      </c>
      <c r="H3134" s="1" t="str">
        <f>_xlfn.XLOOKUP(C3134,Product!A:A,Product!B:B,"not found",0)</f>
        <v>Sun Bicycles Cruz 3 - Women's - 2017</v>
      </c>
      <c r="I3134" s="1">
        <f t="shared" si="97"/>
        <v>449.92</v>
      </c>
    </row>
    <row r="3135" spans="1:9" x14ac:dyDescent="0.2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 s="1">
        <f t="shared" si="96"/>
        <v>250.89000000000001</v>
      </c>
      <c r="H3135" s="1" t="str">
        <f>_xlfn.XLOOKUP(C3135,Product!A:A,Product!B:B,"not found",0)</f>
        <v>Sun Bicycles Revolutions 24 - Girl's - 2017</v>
      </c>
      <c r="I3135" s="1">
        <f t="shared" si="97"/>
        <v>250.89000000000001</v>
      </c>
    </row>
    <row r="3136" spans="1:9" x14ac:dyDescent="0.2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 s="1">
        <f t="shared" si="96"/>
        <v>2199.9299999999998</v>
      </c>
      <c r="H3136" s="1" t="str">
        <f>_xlfn.XLOOKUP(C3136,Product!A:A,Product!B:B,"not found",0)</f>
        <v>Electra Amsterdam Fashion 7i Ladies' - 2017</v>
      </c>
      <c r="I3136" s="1">
        <f t="shared" si="97"/>
        <v>2199.9299999999998</v>
      </c>
    </row>
    <row r="3137" spans="1:9" x14ac:dyDescent="0.2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 s="1">
        <f t="shared" si="96"/>
        <v>3097.93</v>
      </c>
      <c r="H3137" s="1" t="str">
        <f>_xlfn.XLOOKUP(C3137,Product!A:A,Product!B:B,"not found",0)</f>
        <v>Surly Straggler - 2016</v>
      </c>
      <c r="I3137" s="1">
        <f t="shared" si="97"/>
        <v>3097.93</v>
      </c>
    </row>
    <row r="3138" spans="1:9" x14ac:dyDescent="0.2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 s="1">
        <f t="shared" si="96"/>
        <v>1320.79</v>
      </c>
      <c r="H3138" s="1" t="str">
        <f>_xlfn.XLOOKUP(C3138,Product!A:A,Product!B:B,"not found",0)</f>
        <v>Heller Shagamaw Frame - 2016</v>
      </c>
      <c r="I3138" s="1">
        <f t="shared" si="97"/>
        <v>1320.79</v>
      </c>
    </row>
    <row r="3139" spans="1:9" x14ac:dyDescent="0.2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 s="1">
        <f t="shared" ref="G3139:G3202" si="98">(E3139*D3139)-F3139</f>
        <v>529.91999999999996</v>
      </c>
      <c r="H3139" s="1" t="str">
        <f>_xlfn.XLOOKUP(C3139,Product!A:A,Product!B:B,"not found",0)</f>
        <v>Electra Moto 1 - 2016</v>
      </c>
      <c r="I3139" s="1">
        <f t="shared" ref="I3139:I3202" si="99">(D3139*E3139)-F3139</f>
        <v>529.91999999999996</v>
      </c>
    </row>
    <row r="3140" spans="1:9" x14ac:dyDescent="0.2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 s="1">
        <f t="shared" si="98"/>
        <v>979.91</v>
      </c>
      <c r="H3140" s="1" t="str">
        <f>_xlfn.XLOOKUP(C3140,Product!A:A,Product!B:B,"not found",0)</f>
        <v>Electra Townie Original 7D - 2017</v>
      </c>
      <c r="I3140" s="1">
        <f t="shared" si="99"/>
        <v>979.91</v>
      </c>
    </row>
    <row r="3141" spans="1:9" x14ac:dyDescent="0.2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 s="1">
        <f t="shared" si="98"/>
        <v>5199.8799999999992</v>
      </c>
      <c r="H3141" s="1" t="str">
        <f>_xlfn.XLOOKUP(C3141,Product!A:A,Product!B:B,"not found",0)</f>
        <v>Trek Domane S 5 Disc - 2017</v>
      </c>
      <c r="I3141" s="1">
        <f t="shared" si="99"/>
        <v>5199.8799999999992</v>
      </c>
    </row>
    <row r="3142" spans="1:9" x14ac:dyDescent="0.2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 s="1">
        <f t="shared" si="98"/>
        <v>539.91</v>
      </c>
      <c r="H3142" s="1" t="str">
        <f>_xlfn.XLOOKUP(C3142,Product!A:A,Product!B:B,"not found",0)</f>
        <v>Electra Cruiser 1 (24-Inch) - 2016</v>
      </c>
      <c r="I3142" s="1">
        <f t="shared" si="99"/>
        <v>539.91</v>
      </c>
    </row>
    <row r="3143" spans="1:9" x14ac:dyDescent="0.2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 s="1">
        <f t="shared" si="98"/>
        <v>833.78</v>
      </c>
      <c r="H3143" s="1" t="str">
        <f>_xlfn.XLOOKUP(C3143,Product!A:A,Product!B:B,"not found",0)</f>
        <v>Sun Bicycles Cruz 7 - Women's - 2017</v>
      </c>
      <c r="I3143" s="1">
        <f t="shared" si="99"/>
        <v>833.78</v>
      </c>
    </row>
    <row r="3144" spans="1:9" x14ac:dyDescent="0.2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 s="1">
        <f t="shared" si="98"/>
        <v>489.89</v>
      </c>
      <c r="H3144" s="1" t="str">
        <f>_xlfn.XLOOKUP(C3144,Product!A:A,Product!B:B,"not found",0)</f>
        <v>Electra Townie Original 7D - 2017</v>
      </c>
      <c r="I3144" s="1">
        <f t="shared" si="99"/>
        <v>489.89</v>
      </c>
    </row>
    <row r="3145" spans="1:9" x14ac:dyDescent="0.2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 s="1">
        <f t="shared" si="98"/>
        <v>999.89</v>
      </c>
      <c r="H3145" s="1" t="str">
        <f>_xlfn.XLOOKUP(C3145,Product!A:A,Product!B:B,"not found",0)</f>
        <v>Surly Ice Cream Truck Frameset - 2017</v>
      </c>
      <c r="I3145" s="1">
        <f t="shared" si="99"/>
        <v>999.89</v>
      </c>
    </row>
    <row r="3146" spans="1:9" x14ac:dyDescent="0.2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 s="1">
        <f t="shared" si="98"/>
        <v>469.92</v>
      </c>
      <c r="H3146" s="1" t="str">
        <f>_xlfn.XLOOKUP(C3146,Product!A:A,Product!B:B,"not found",0)</f>
        <v>Surly Wednesday Frameset - 2017</v>
      </c>
      <c r="I3146" s="1">
        <f t="shared" si="99"/>
        <v>469.92</v>
      </c>
    </row>
    <row r="3147" spans="1:9" x14ac:dyDescent="0.2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 s="1">
        <f t="shared" si="98"/>
        <v>1665.78</v>
      </c>
      <c r="H3147" s="1" t="str">
        <f>_xlfn.XLOOKUP(C3147,Product!A:A,Product!B:B,"not found",0)</f>
        <v>Surly Troll Frameset - 2017</v>
      </c>
      <c r="I3147" s="1">
        <f t="shared" si="99"/>
        <v>1665.78</v>
      </c>
    </row>
    <row r="3148" spans="1:9" x14ac:dyDescent="0.2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 s="1">
        <f t="shared" si="98"/>
        <v>1319.91</v>
      </c>
      <c r="H3148" s="1" t="str">
        <f>_xlfn.XLOOKUP(C3148,Product!A:A,Product!B:B,"not found",0)</f>
        <v>Electra Amsterdam Original 3i - 2015/2017</v>
      </c>
      <c r="I3148" s="1">
        <f t="shared" si="99"/>
        <v>1319.91</v>
      </c>
    </row>
    <row r="3149" spans="1:9" x14ac:dyDescent="0.2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 s="1">
        <f t="shared" si="98"/>
        <v>1999.93</v>
      </c>
      <c r="H3149" s="1" t="str">
        <f>_xlfn.XLOOKUP(C3149,Product!A:A,Product!B:B,"not found",0)</f>
        <v>Surly Ice Cream Truck Frameset - 2017</v>
      </c>
      <c r="I3149" s="1">
        <f t="shared" si="99"/>
        <v>1999.93</v>
      </c>
    </row>
    <row r="3150" spans="1:9" x14ac:dyDescent="0.2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 s="1">
        <f t="shared" si="98"/>
        <v>439.79</v>
      </c>
      <c r="H3150" s="1" t="str">
        <f>_xlfn.XLOOKUP(C3150,Product!A:A,Product!B:B,"not found",0)</f>
        <v>Electra Cruiser Lux 1 - 2017</v>
      </c>
      <c r="I3150" s="1">
        <f t="shared" si="99"/>
        <v>439.79</v>
      </c>
    </row>
    <row r="3151" spans="1:9" x14ac:dyDescent="0.2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 s="1">
        <f t="shared" si="98"/>
        <v>349.94</v>
      </c>
      <c r="H3151" s="1" t="str">
        <f>_xlfn.XLOOKUP(C3151,Product!A:A,Product!B:B,"not found",0)</f>
        <v>Electra Savannah 3i (20-inch) - Girl's - 2017</v>
      </c>
      <c r="I3151" s="1">
        <f t="shared" si="99"/>
        <v>349.94</v>
      </c>
    </row>
    <row r="3152" spans="1:9" x14ac:dyDescent="0.2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 s="1">
        <f t="shared" si="98"/>
        <v>5499.8899999999994</v>
      </c>
      <c r="H3152" s="1" t="str">
        <f>_xlfn.XLOOKUP(C3152,Product!A:A,Product!B:B,"not found",0)</f>
        <v>Trek Domane SLR 6 Disc - 2017</v>
      </c>
      <c r="I3152" s="1">
        <f t="shared" si="99"/>
        <v>5499.8899999999994</v>
      </c>
    </row>
    <row r="3153" spans="1:9" x14ac:dyDescent="0.2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 s="1">
        <f t="shared" si="98"/>
        <v>448.9</v>
      </c>
      <c r="H3153" s="1" t="str">
        <f>_xlfn.XLOOKUP(C3153,Product!A:A,Product!B:B,"not found",0)</f>
        <v>Pure Cycles William 3-Speed - 2016</v>
      </c>
      <c r="I3153" s="1">
        <f t="shared" si="99"/>
        <v>448.9</v>
      </c>
    </row>
    <row r="3154" spans="1:9" x14ac:dyDescent="0.2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 s="1">
        <f t="shared" si="98"/>
        <v>469.94</v>
      </c>
      <c r="H3154" s="1" t="str">
        <f>_xlfn.XLOOKUP(C3154,Product!A:A,Product!B:B,"not found",0)</f>
        <v>Trek Session DH 27.5 Carbon Frameset - 2017</v>
      </c>
      <c r="I3154" s="1">
        <f t="shared" si="99"/>
        <v>469.94</v>
      </c>
    </row>
    <row r="3155" spans="1:9" x14ac:dyDescent="0.2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 s="1">
        <f t="shared" si="98"/>
        <v>1999.91</v>
      </c>
      <c r="H3155" s="1" t="str">
        <f>_xlfn.XLOOKUP(C3155,Product!A:A,Product!B:B,"not found",0)</f>
        <v>Surly Ice Cream Truck Frameset - 2017</v>
      </c>
      <c r="I3155" s="1">
        <f t="shared" si="99"/>
        <v>1999.91</v>
      </c>
    </row>
    <row r="3156" spans="1:9" x14ac:dyDescent="0.2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 s="1">
        <f t="shared" si="98"/>
        <v>1499.88</v>
      </c>
      <c r="H3156" s="1" t="str">
        <f>_xlfn.XLOOKUP(C3156,Product!A:A,Product!B:B,"not found",0)</f>
        <v>Ritchey Timberwolf Frameset - 2016</v>
      </c>
      <c r="I3156" s="1">
        <f t="shared" si="99"/>
        <v>1499.88</v>
      </c>
    </row>
    <row r="3157" spans="1:9" x14ac:dyDescent="0.2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 s="1">
        <f t="shared" si="98"/>
        <v>448.8</v>
      </c>
      <c r="H3157" s="1" t="str">
        <f>_xlfn.XLOOKUP(C3157,Product!A:A,Product!B:B,"not found",0)</f>
        <v>Pure Cycles Western 3-Speed - Women's - 2015/2016</v>
      </c>
      <c r="I3157" s="1">
        <f t="shared" si="99"/>
        <v>448.8</v>
      </c>
    </row>
    <row r="3158" spans="1:9" x14ac:dyDescent="0.2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 s="1">
        <f t="shared" si="98"/>
        <v>1739.91</v>
      </c>
      <c r="H3158" s="1" t="str">
        <f>_xlfn.XLOOKUP(C3158,Product!A:A,Product!B:B,"not found",0)</f>
        <v>Haro SR 1.2 - 2017</v>
      </c>
      <c r="I3158" s="1">
        <f t="shared" si="99"/>
        <v>1739.91</v>
      </c>
    </row>
    <row r="3159" spans="1:9" x14ac:dyDescent="0.2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 s="1">
        <f t="shared" si="98"/>
        <v>857.9</v>
      </c>
      <c r="H3159" s="1" t="str">
        <f>_xlfn.XLOOKUP(C3159,Product!A:A,Product!B:B,"not found",0)</f>
        <v>Pure Cycles Vine 8-Speed - 2016</v>
      </c>
      <c r="I3159" s="1">
        <f t="shared" si="99"/>
        <v>857.9</v>
      </c>
    </row>
    <row r="3160" spans="1:9" x14ac:dyDescent="0.2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 s="1">
        <f t="shared" si="98"/>
        <v>419.88</v>
      </c>
      <c r="H3160" s="1" t="str">
        <f>_xlfn.XLOOKUP(C3160,Product!A:A,Product!B:B,"not found",0)</f>
        <v>Trek Precaliber 16 Girls - 2017</v>
      </c>
      <c r="I3160" s="1">
        <f t="shared" si="99"/>
        <v>419.88</v>
      </c>
    </row>
    <row r="3161" spans="1:9" x14ac:dyDescent="0.2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 s="1">
        <f t="shared" si="98"/>
        <v>416.89</v>
      </c>
      <c r="H3161" s="1" t="str">
        <f>_xlfn.XLOOKUP(C3161,Product!A:A,Product!B:B,"not found",0)</f>
        <v>Sun Bicycles Atlas X-Type - 2017</v>
      </c>
      <c r="I3161" s="1">
        <f t="shared" si="99"/>
        <v>416.89</v>
      </c>
    </row>
    <row r="3162" spans="1:9" x14ac:dyDescent="0.2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 s="1">
        <f t="shared" si="98"/>
        <v>1680.89</v>
      </c>
      <c r="H3162" s="1" t="str">
        <f>_xlfn.XLOOKUP(C3162,Product!A:A,Product!B:B,"not found",0)</f>
        <v>Surly Straggler 650b - 2016</v>
      </c>
      <c r="I3162" s="1">
        <f t="shared" si="99"/>
        <v>1680.89</v>
      </c>
    </row>
    <row r="3163" spans="1:9" x14ac:dyDescent="0.2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 s="1">
        <f t="shared" si="98"/>
        <v>549.89</v>
      </c>
      <c r="H3163" s="1" t="str">
        <f>_xlfn.XLOOKUP(C3163,Product!A:A,Product!B:B,"not found",0)</f>
        <v>Electra Townie Original 21D - 2016</v>
      </c>
      <c r="I3163" s="1">
        <f t="shared" si="99"/>
        <v>549.89</v>
      </c>
    </row>
    <row r="3164" spans="1:9" x14ac:dyDescent="0.2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 s="1">
        <f t="shared" si="98"/>
        <v>416.79</v>
      </c>
      <c r="H3164" s="1" t="str">
        <f>_xlfn.XLOOKUP(C3164,Product!A:A,Product!B:B,"not found",0)</f>
        <v>Sun Bicycles Cruz 7 - 2017</v>
      </c>
      <c r="I3164" s="1">
        <f t="shared" si="99"/>
        <v>416.79</v>
      </c>
    </row>
    <row r="3165" spans="1:9" x14ac:dyDescent="0.2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 s="1">
        <f t="shared" si="98"/>
        <v>1295.93</v>
      </c>
      <c r="H3165" s="1" t="str">
        <f>_xlfn.XLOOKUP(C3165,Product!A:A,Product!B:B,"not found",0)</f>
        <v>Sun Bicycles Biscayne Tandem CB - 2017</v>
      </c>
      <c r="I3165" s="1">
        <f t="shared" si="99"/>
        <v>1295.93</v>
      </c>
    </row>
    <row r="3166" spans="1:9" x14ac:dyDescent="0.2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 s="1">
        <f t="shared" si="98"/>
        <v>1999.78</v>
      </c>
      <c r="H3166" s="1" t="str">
        <f>_xlfn.XLOOKUP(C3166,Product!A:A,Product!B:B,"not found",0)</f>
        <v>Surly Wednesday Frameset - 2016</v>
      </c>
      <c r="I3166" s="1">
        <f t="shared" si="99"/>
        <v>1999.78</v>
      </c>
    </row>
    <row r="3167" spans="1:9" x14ac:dyDescent="0.2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 s="1">
        <f t="shared" si="98"/>
        <v>1059.8800000000001</v>
      </c>
      <c r="H3167" s="1" t="str">
        <f>_xlfn.XLOOKUP(C3167,Product!A:A,Product!B:B,"not found",0)</f>
        <v>Electra Moto 1 - 2016</v>
      </c>
      <c r="I3167" s="1">
        <f t="shared" si="99"/>
        <v>1059.8800000000001</v>
      </c>
    </row>
    <row r="3168" spans="1:9" x14ac:dyDescent="0.2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 s="1">
        <f t="shared" si="98"/>
        <v>1632.79</v>
      </c>
      <c r="H3168" s="1" t="str">
        <f>_xlfn.XLOOKUP(C3168,Product!A:A,Product!B:B,"not found",0)</f>
        <v>Surly Wednesday - 2017</v>
      </c>
      <c r="I3168" s="1">
        <f t="shared" si="99"/>
        <v>1632.79</v>
      </c>
    </row>
    <row r="3169" spans="1:9" x14ac:dyDescent="0.2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 s="1">
        <f t="shared" si="98"/>
        <v>11999.93</v>
      </c>
      <c r="H3169" s="1" t="str">
        <f>_xlfn.XLOOKUP(C3169,Product!A:A,Product!B:B,"not found",0)</f>
        <v>Trek Silque SLR 7 Women's - 2017</v>
      </c>
      <c r="I3169" s="1">
        <f t="shared" si="99"/>
        <v>11999.93</v>
      </c>
    </row>
    <row r="3170" spans="1:9" x14ac:dyDescent="0.2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 s="1">
        <f t="shared" si="98"/>
        <v>1680.89</v>
      </c>
      <c r="H3170" s="1" t="str">
        <f>_xlfn.XLOOKUP(C3170,Product!A:A,Product!B:B,"not found",0)</f>
        <v>Surly Straggler 650b - 2016</v>
      </c>
      <c r="I3170" s="1">
        <f t="shared" si="99"/>
        <v>1680.89</v>
      </c>
    </row>
    <row r="3171" spans="1:9" x14ac:dyDescent="0.2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 s="1">
        <f t="shared" si="98"/>
        <v>299.94</v>
      </c>
      <c r="H3171" s="1" t="str">
        <f>_xlfn.XLOOKUP(C3171,Product!A:A,Product!B:B,"not found",0)</f>
        <v>Electra Sugar Skulls 1 (20-inch) - Girl's - 2017</v>
      </c>
      <c r="I3171" s="1">
        <f t="shared" si="99"/>
        <v>299.94</v>
      </c>
    </row>
    <row r="3172" spans="1:9" x14ac:dyDescent="0.2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 s="1">
        <f t="shared" si="98"/>
        <v>899.91</v>
      </c>
      <c r="H3172" s="1" t="str">
        <f>_xlfn.XLOOKUP(C3172,Product!A:A,Product!B:B,"not found",0)</f>
        <v>Sun Bicycles Cruz 3 - 2017</v>
      </c>
      <c r="I3172" s="1">
        <f t="shared" si="99"/>
        <v>899.91</v>
      </c>
    </row>
    <row r="3173" spans="1:9" x14ac:dyDescent="0.2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 s="1">
        <f t="shared" si="98"/>
        <v>979.91</v>
      </c>
      <c r="H3173" s="1" t="str">
        <f>_xlfn.XLOOKUP(C3173,Product!A:A,Product!B:B,"not found",0)</f>
        <v>Electra Straight 8 3i (20-inch) - Boy's - 2017</v>
      </c>
      <c r="I3173" s="1">
        <f t="shared" si="99"/>
        <v>979.91</v>
      </c>
    </row>
    <row r="3174" spans="1:9" x14ac:dyDescent="0.2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 s="1">
        <f t="shared" si="98"/>
        <v>448.8</v>
      </c>
      <c r="H3174" s="1" t="str">
        <f>_xlfn.XLOOKUP(C3174,Product!A:A,Product!B:B,"not found",0)</f>
        <v>Pure Cycles William 3-Speed - 2016</v>
      </c>
      <c r="I3174" s="1">
        <f t="shared" si="99"/>
        <v>448.8</v>
      </c>
    </row>
    <row r="3175" spans="1:9" x14ac:dyDescent="0.2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 s="1">
        <f t="shared" si="98"/>
        <v>1665.93</v>
      </c>
      <c r="H3175" s="1" t="str">
        <f>_xlfn.XLOOKUP(C3175,Product!A:A,Product!B:B,"not found",0)</f>
        <v>Sun Bicycles Spider 3i - 2017</v>
      </c>
      <c r="I3175" s="1">
        <f t="shared" si="99"/>
        <v>1665.93</v>
      </c>
    </row>
    <row r="3176" spans="1:9" x14ac:dyDescent="0.2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 s="1">
        <f t="shared" si="98"/>
        <v>189.89000000000001</v>
      </c>
      <c r="H3176" s="1" t="str">
        <f>_xlfn.XLOOKUP(C3176,Product!A:A,Product!B:B,"not found",0)</f>
        <v>Trek Precaliber 12 Girls - 2017</v>
      </c>
      <c r="I3176" s="1">
        <f t="shared" si="99"/>
        <v>189.89000000000001</v>
      </c>
    </row>
    <row r="3177" spans="1:9" x14ac:dyDescent="0.2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 s="1">
        <f t="shared" si="98"/>
        <v>489.89</v>
      </c>
      <c r="H3177" s="1" t="str">
        <f>_xlfn.XLOOKUP(C3177,Product!A:A,Product!B:B,"not found",0)</f>
        <v>Electra Townie Original 7D - 2017</v>
      </c>
      <c r="I3177" s="1">
        <f t="shared" si="99"/>
        <v>489.89</v>
      </c>
    </row>
    <row r="3178" spans="1:9" x14ac:dyDescent="0.2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 s="1">
        <f t="shared" si="98"/>
        <v>539.93000000000006</v>
      </c>
      <c r="H3178" s="1" t="str">
        <f>_xlfn.XLOOKUP(C3178,Product!A:A,Product!B:B,"not found",0)</f>
        <v>Electra Cruiser 1 (24-Inch) - 2016</v>
      </c>
      <c r="I3178" s="1">
        <f t="shared" si="99"/>
        <v>539.93000000000006</v>
      </c>
    </row>
    <row r="3179" spans="1:9" x14ac:dyDescent="0.2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 s="1">
        <f t="shared" si="98"/>
        <v>1409.92</v>
      </c>
      <c r="H3179" s="1" t="str">
        <f>_xlfn.XLOOKUP(C3179,Product!A:A,Product!B:B,"not found",0)</f>
        <v>Haro SR 1.3 - 2017</v>
      </c>
      <c r="I3179" s="1">
        <f t="shared" si="99"/>
        <v>1409.92</v>
      </c>
    </row>
    <row r="3180" spans="1:9" x14ac:dyDescent="0.2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 s="1">
        <f t="shared" si="98"/>
        <v>419.88</v>
      </c>
      <c r="H3180" s="1" t="str">
        <f>_xlfn.XLOOKUP(C3180,Product!A:A,Product!B:B,"not found",0)</f>
        <v>Trek Precaliber 16 Boys - 2017</v>
      </c>
      <c r="I3180" s="1">
        <f t="shared" si="99"/>
        <v>419.88</v>
      </c>
    </row>
    <row r="3181" spans="1:9" x14ac:dyDescent="0.2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 s="1">
        <f t="shared" si="98"/>
        <v>549.94000000000005</v>
      </c>
      <c r="H3181" s="1" t="str">
        <f>_xlfn.XLOOKUP(C3181,Product!A:A,Product!B:B,"not found",0)</f>
        <v>Electra Townie Original 21D - 2016</v>
      </c>
      <c r="I3181" s="1">
        <f t="shared" si="99"/>
        <v>549.94000000000005</v>
      </c>
    </row>
    <row r="3182" spans="1:9" x14ac:dyDescent="0.2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 s="1">
        <f t="shared" si="98"/>
        <v>5999.8799999999992</v>
      </c>
      <c r="H3182" s="1" t="str">
        <f>_xlfn.XLOOKUP(C3182,Product!A:A,Product!B:B,"not found",0)</f>
        <v>Trek Conduit+ - 2016</v>
      </c>
      <c r="I3182" s="1">
        <f t="shared" si="99"/>
        <v>5999.8799999999992</v>
      </c>
    </row>
    <row r="3183" spans="1:9" x14ac:dyDescent="0.2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 s="1">
        <f t="shared" si="98"/>
        <v>533.91999999999996</v>
      </c>
      <c r="H3183" s="1" t="str">
        <f>_xlfn.XLOOKUP(C3183,Product!A:A,Product!B:B,"not found",0)</f>
        <v>Sun Bicycles Streamway 7 - 2017</v>
      </c>
      <c r="I3183" s="1">
        <f t="shared" si="99"/>
        <v>533.91999999999996</v>
      </c>
    </row>
    <row r="3184" spans="1:9" x14ac:dyDescent="0.2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 s="1">
        <f t="shared" si="98"/>
        <v>6499.94</v>
      </c>
      <c r="H3184" s="1" t="str">
        <f>_xlfn.XLOOKUP(C3184,Product!A:A,Product!B:B,"not found",0)</f>
        <v>Trek Silque SLR 8 Women's - 2017</v>
      </c>
      <c r="I3184" s="1">
        <f t="shared" si="99"/>
        <v>6499.94</v>
      </c>
    </row>
    <row r="3185" spans="1:9" x14ac:dyDescent="0.2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 s="1">
        <f t="shared" si="98"/>
        <v>349.92</v>
      </c>
      <c r="H3185" s="1" t="str">
        <f>_xlfn.XLOOKUP(C3185,Product!A:A,Product!B:B,"not found",0)</f>
        <v>Trek Precaliber 24 (21-Speed) - Girls - 2017</v>
      </c>
      <c r="I3185" s="1">
        <f t="shared" si="99"/>
        <v>349.92</v>
      </c>
    </row>
    <row r="3186" spans="1:9" x14ac:dyDescent="0.2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 s="1">
        <f t="shared" si="98"/>
        <v>449.79</v>
      </c>
      <c r="H3186" s="1" t="str">
        <f>_xlfn.XLOOKUP(C3186,Product!A:A,Product!B:B,"not found",0)</f>
        <v>Sun Bicycles Cruz 3 - 2017</v>
      </c>
      <c r="I3186" s="1">
        <f t="shared" si="99"/>
        <v>449.79</v>
      </c>
    </row>
    <row r="3187" spans="1:9" x14ac:dyDescent="0.2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 s="1">
        <f t="shared" si="98"/>
        <v>2819.78</v>
      </c>
      <c r="H3187" s="1" t="str">
        <f>_xlfn.XLOOKUP(C3187,Product!A:A,Product!B:B,"not found",0)</f>
        <v>Haro SR 1.3 - 2017</v>
      </c>
      <c r="I3187" s="1">
        <f t="shared" si="99"/>
        <v>2819.78</v>
      </c>
    </row>
    <row r="3188" spans="1:9" x14ac:dyDescent="0.2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 s="1">
        <f t="shared" si="98"/>
        <v>428.9</v>
      </c>
      <c r="H3188" s="1" t="str">
        <f>_xlfn.XLOOKUP(C3188,Product!A:A,Product!B:B,"not found",0)</f>
        <v>Pure Cycles Vine 8-Speed - 2016</v>
      </c>
      <c r="I3188" s="1">
        <f t="shared" si="99"/>
        <v>428.9</v>
      </c>
    </row>
    <row r="3189" spans="1:9" x14ac:dyDescent="0.2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 s="1">
        <f t="shared" si="98"/>
        <v>1319.88</v>
      </c>
      <c r="H3189" s="1" t="str">
        <f>_xlfn.XLOOKUP(C3189,Product!A:A,Product!B:B,"not found",0)</f>
        <v>Electra Amsterdam Original 3i - 2015/2017</v>
      </c>
      <c r="I3189" s="1">
        <f t="shared" si="99"/>
        <v>1319.88</v>
      </c>
    </row>
    <row r="3190" spans="1:9" x14ac:dyDescent="0.2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 s="1">
        <f t="shared" si="98"/>
        <v>5299.92</v>
      </c>
      <c r="H3190" s="1" t="str">
        <f>_xlfn.XLOOKUP(C3190,Product!A:A,Product!B:B,"not found",0)</f>
        <v>Trek Fuel EX 9.8 27.5 Plus - 2017</v>
      </c>
      <c r="I3190" s="1">
        <f t="shared" si="99"/>
        <v>5299.92</v>
      </c>
    </row>
    <row r="3191" spans="1:9" x14ac:dyDescent="0.2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 s="1">
        <f t="shared" si="98"/>
        <v>761.92</v>
      </c>
      <c r="H3191" s="1" t="str">
        <f>_xlfn.XLOOKUP(C3191,Product!A:A,Product!B:B,"not found",0)</f>
        <v>Sun Bicycles Brickell Tandem CB - 2017</v>
      </c>
      <c r="I3191" s="1">
        <f t="shared" si="99"/>
        <v>761.92</v>
      </c>
    </row>
    <row r="3192" spans="1:9" x14ac:dyDescent="0.2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 s="1">
        <f t="shared" si="98"/>
        <v>1559.94</v>
      </c>
      <c r="H3192" s="1" t="str">
        <f>_xlfn.XLOOKUP(C3192,Product!A:A,Product!B:B,"not found",0)</f>
        <v>Sun Bicycles ElectroLite - 2017</v>
      </c>
      <c r="I3192" s="1">
        <f t="shared" si="99"/>
        <v>1559.94</v>
      </c>
    </row>
    <row r="3193" spans="1:9" x14ac:dyDescent="0.2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 s="1">
        <f t="shared" si="98"/>
        <v>10999.779999999999</v>
      </c>
      <c r="H3193" s="1" t="str">
        <f>_xlfn.XLOOKUP(C3193,Product!A:A,Product!B:B,"not found",0)</f>
        <v>Trek Domane SLR 6 Disc - 2017</v>
      </c>
      <c r="I3193" s="1">
        <f t="shared" si="99"/>
        <v>10999.779999999999</v>
      </c>
    </row>
    <row r="3194" spans="1:9" x14ac:dyDescent="0.2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 s="1">
        <f t="shared" si="98"/>
        <v>1665.91</v>
      </c>
      <c r="H3194" s="1" t="str">
        <f>_xlfn.XLOOKUP(C3194,Product!A:A,Product!B:B,"not found",0)</f>
        <v>Sun Bicycles Spider 3i - 2017</v>
      </c>
      <c r="I3194" s="1">
        <f t="shared" si="99"/>
        <v>1665.91</v>
      </c>
    </row>
    <row r="3195" spans="1:9" x14ac:dyDescent="0.2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 s="1">
        <f t="shared" si="98"/>
        <v>349.89</v>
      </c>
      <c r="H3195" s="1" t="str">
        <f>_xlfn.XLOOKUP(C3195,Product!A:A,Product!B:B,"not found",0)</f>
        <v>Electra Moto 3i (20-inch) - Boy's - 2017</v>
      </c>
      <c r="I3195" s="1">
        <f t="shared" si="99"/>
        <v>349.89</v>
      </c>
    </row>
    <row r="3196" spans="1:9" x14ac:dyDescent="0.2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 s="1">
        <f t="shared" si="98"/>
        <v>5299.79</v>
      </c>
      <c r="H3196" s="1" t="str">
        <f>_xlfn.XLOOKUP(C3196,Product!A:A,Product!B:B,"not found",0)</f>
        <v>Trek Fuel EX 9.8 27.5 Plus - 2017</v>
      </c>
      <c r="I3196" s="1">
        <f t="shared" si="99"/>
        <v>5299.79</v>
      </c>
    </row>
    <row r="3197" spans="1:9" x14ac:dyDescent="0.2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 s="1">
        <f t="shared" si="98"/>
        <v>2939.78</v>
      </c>
      <c r="H3197" s="1" t="str">
        <f>_xlfn.XLOOKUP(C3197,Product!A:A,Product!B:B,"not found",0)</f>
        <v>Haro Shift R3 - 2017</v>
      </c>
      <c r="I3197" s="1">
        <f t="shared" si="99"/>
        <v>2939.78</v>
      </c>
    </row>
    <row r="3198" spans="1:9" x14ac:dyDescent="0.2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 s="1">
        <f t="shared" si="98"/>
        <v>1739.93</v>
      </c>
      <c r="H3198" s="1" t="str">
        <f>_xlfn.XLOOKUP(C3198,Product!A:A,Product!B:B,"not found",0)</f>
        <v>Haro SR 1.2 - 2017</v>
      </c>
      <c r="I3198" s="1">
        <f t="shared" si="99"/>
        <v>1739.93</v>
      </c>
    </row>
    <row r="3199" spans="1:9" x14ac:dyDescent="0.2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 s="1">
        <f t="shared" si="98"/>
        <v>489.92</v>
      </c>
      <c r="H3199" s="1" t="str">
        <f>_xlfn.XLOOKUP(C3199,Product!A:A,Product!B:B,"not found",0)</f>
        <v>Electra Townie 3i EQ (20-inch) - Boys' - 2017</v>
      </c>
      <c r="I3199" s="1">
        <f t="shared" si="99"/>
        <v>489.92</v>
      </c>
    </row>
    <row r="3200" spans="1:9" x14ac:dyDescent="0.2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 s="1">
        <f t="shared" si="98"/>
        <v>533.91999999999996</v>
      </c>
      <c r="H3200" s="1" t="str">
        <f>_xlfn.XLOOKUP(C3200,Product!A:A,Product!B:B,"not found",0)</f>
        <v>Sun Bicycles Streamway 7 - 2017</v>
      </c>
      <c r="I3200" s="1">
        <f t="shared" si="99"/>
        <v>533.91999999999996</v>
      </c>
    </row>
    <row r="3201" spans="1:9" x14ac:dyDescent="0.2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 s="1">
        <f t="shared" si="98"/>
        <v>1239.8800000000001</v>
      </c>
      <c r="H3201" s="1" t="str">
        <f>_xlfn.XLOOKUP(C3201,Product!A:A,Product!B:B,"not found",0)</f>
        <v>Sun Bicycles Biscayne Tandem 7 - 2017</v>
      </c>
      <c r="I3201" s="1">
        <f t="shared" si="99"/>
        <v>1239.8800000000001</v>
      </c>
    </row>
    <row r="3202" spans="1:9" x14ac:dyDescent="0.2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 s="1">
        <f t="shared" si="98"/>
        <v>5499.8899999999994</v>
      </c>
      <c r="H3202" s="1" t="str">
        <f>_xlfn.XLOOKUP(C3202,Product!A:A,Product!B:B,"not found",0)</f>
        <v>Trek Domane SLR 6 Disc - 2017</v>
      </c>
      <c r="I3202" s="1">
        <f t="shared" si="99"/>
        <v>5499.8899999999994</v>
      </c>
    </row>
    <row r="3203" spans="1:9" x14ac:dyDescent="0.2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 s="1">
        <f t="shared" ref="G3203:G3266" si="100">(E3203*D3203)-F3203</f>
        <v>299.94</v>
      </c>
      <c r="H3203" s="1" t="str">
        <f>_xlfn.XLOOKUP(C3203,Product!A:A,Product!B:B,"not found",0)</f>
        <v>Electra Girl's Hawaii 1 16" - 2017</v>
      </c>
      <c r="I3203" s="1">
        <f t="shared" ref="I3203:I3266" si="101">(D3203*E3203)-F3203</f>
        <v>299.94</v>
      </c>
    </row>
    <row r="3204" spans="1:9" x14ac:dyDescent="0.2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 s="1">
        <f t="shared" si="100"/>
        <v>501.88</v>
      </c>
      <c r="H3204" s="1" t="str">
        <f>_xlfn.XLOOKUP(C3204,Product!A:A,Product!B:B,"not found",0)</f>
        <v>Sun Bicycles Revolutions 24 - 2017</v>
      </c>
      <c r="I3204" s="1">
        <f t="shared" si="101"/>
        <v>501.88</v>
      </c>
    </row>
    <row r="3205" spans="1:9" x14ac:dyDescent="0.2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 s="1">
        <f t="shared" si="100"/>
        <v>269.79000000000002</v>
      </c>
      <c r="H3205" s="1" t="str">
        <f>_xlfn.XLOOKUP(C3205,Product!A:A,Product!B:B,"not found",0)</f>
        <v>Electra Girl's Hawaii 1 (16-inch) - 2015/2016</v>
      </c>
      <c r="I3205" s="1">
        <f t="shared" si="101"/>
        <v>269.79000000000002</v>
      </c>
    </row>
    <row r="3206" spans="1:9" x14ac:dyDescent="0.2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 s="1">
        <f t="shared" si="100"/>
        <v>549.91999999999996</v>
      </c>
      <c r="H3206" s="1" t="str">
        <f>_xlfn.XLOOKUP(C3206,Product!A:A,Product!B:B,"not found",0)</f>
        <v>Electra Townie Original 21D - 2016</v>
      </c>
      <c r="I3206" s="1">
        <f t="shared" si="101"/>
        <v>549.91999999999996</v>
      </c>
    </row>
    <row r="3207" spans="1:9" x14ac:dyDescent="0.2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 s="1">
        <f t="shared" si="100"/>
        <v>833.93000000000006</v>
      </c>
      <c r="H3207" s="1" t="str">
        <f>_xlfn.XLOOKUP(C3207,Product!A:A,Product!B:B,"not found",0)</f>
        <v>Sun Bicycles Atlas X-Type - 2017</v>
      </c>
      <c r="I3207" s="1">
        <f t="shared" si="101"/>
        <v>833.93000000000006</v>
      </c>
    </row>
    <row r="3208" spans="1:9" x14ac:dyDescent="0.2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 s="1">
        <f t="shared" si="100"/>
        <v>2299.9199999999996</v>
      </c>
      <c r="H3208" s="1" t="str">
        <f>_xlfn.XLOOKUP(C3208,Product!A:A,Product!B:B,"not found",0)</f>
        <v>Trek Fuel EX 5 27.5 Plus - 2017</v>
      </c>
      <c r="I3208" s="1">
        <f t="shared" si="101"/>
        <v>2299.9199999999996</v>
      </c>
    </row>
    <row r="3209" spans="1:9" x14ac:dyDescent="0.2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 s="1">
        <f t="shared" si="100"/>
        <v>2641.88</v>
      </c>
      <c r="H3209" s="1" t="str">
        <f>_xlfn.XLOOKUP(C3209,Product!A:A,Product!B:B,"not found",0)</f>
        <v>Heller Shagamaw Frame - 2016</v>
      </c>
      <c r="I3209" s="1">
        <f t="shared" si="101"/>
        <v>2641.88</v>
      </c>
    </row>
    <row r="3210" spans="1:9" x14ac:dyDescent="0.2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 s="1">
        <f t="shared" si="100"/>
        <v>379.91</v>
      </c>
      <c r="H3210" s="1" t="str">
        <f>_xlfn.XLOOKUP(C3210,Product!A:A,Product!B:B,"not found",0)</f>
        <v>Trek Precaliber 12 Boys - 2017</v>
      </c>
      <c r="I3210" s="1">
        <f t="shared" si="101"/>
        <v>379.91</v>
      </c>
    </row>
    <row r="3211" spans="1:9" x14ac:dyDescent="0.2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 s="1">
        <f t="shared" si="100"/>
        <v>5999.8799999999992</v>
      </c>
      <c r="H3211" s="1" t="str">
        <f>_xlfn.XLOOKUP(C3211,Product!A:A,Product!B:B,"not found",0)</f>
        <v>Trek Conduit+ - 2016</v>
      </c>
      <c r="I3211" s="1">
        <f t="shared" si="101"/>
        <v>5999.8799999999992</v>
      </c>
    </row>
    <row r="3212" spans="1:9" x14ac:dyDescent="0.2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 s="1">
        <f t="shared" si="100"/>
        <v>449.92</v>
      </c>
      <c r="H3212" s="1" t="str">
        <f>_xlfn.XLOOKUP(C3212,Product!A:A,Product!B:B,"not found",0)</f>
        <v>Sun Bicycles Cruz 3 - 2017</v>
      </c>
      <c r="I3212" s="1">
        <f t="shared" si="101"/>
        <v>449.92</v>
      </c>
    </row>
    <row r="3213" spans="1:9" x14ac:dyDescent="0.2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 s="1">
        <f t="shared" si="100"/>
        <v>875.79</v>
      </c>
      <c r="H3213" s="1" t="str">
        <f>_xlfn.XLOOKUP(C3213,Product!A:A,Product!B:B,"not found",0)</f>
        <v>Surly Steamroller - 2017</v>
      </c>
      <c r="I3213" s="1">
        <f t="shared" si="101"/>
        <v>875.79</v>
      </c>
    </row>
    <row r="3214" spans="1:9" x14ac:dyDescent="0.2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 s="1">
        <f t="shared" si="100"/>
        <v>699.78</v>
      </c>
      <c r="H3214" s="1" t="str">
        <f>_xlfn.XLOOKUP(C3214,Product!A:A,Product!B:B,"not found",0)</f>
        <v>Electra Savannah 3i (20-inch) - Girl's - 2017</v>
      </c>
      <c r="I3214" s="1">
        <f t="shared" si="101"/>
        <v>699.78</v>
      </c>
    </row>
    <row r="3215" spans="1:9" x14ac:dyDescent="0.2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 s="1">
        <f t="shared" si="100"/>
        <v>11999.91</v>
      </c>
      <c r="H3215" s="1" t="str">
        <f>_xlfn.XLOOKUP(C3215,Product!A:A,Product!B:B,"not found",0)</f>
        <v>Trek Silque SLR 7 Women's - 2017</v>
      </c>
      <c r="I3215" s="1">
        <f t="shared" si="101"/>
        <v>11999.91</v>
      </c>
    </row>
    <row r="3216" spans="1:9" x14ac:dyDescent="0.2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 s="1">
        <f t="shared" si="100"/>
        <v>699.91</v>
      </c>
      <c r="H3216" s="1" t="str">
        <f>_xlfn.XLOOKUP(C3216,Product!A:A,Product!B:B,"not found",0)</f>
        <v>Trek Precaliber 24 (21-Speed) - Girls - 2017</v>
      </c>
      <c r="I3216" s="1">
        <f t="shared" si="101"/>
        <v>699.91</v>
      </c>
    </row>
    <row r="3217" spans="1:9" x14ac:dyDescent="0.2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 s="1">
        <f t="shared" si="100"/>
        <v>6999.8799999999992</v>
      </c>
      <c r="H3217" s="1" t="str">
        <f>_xlfn.XLOOKUP(C3217,Product!A:A,Product!B:B,"not found",0)</f>
        <v>Trek Domane SL 6 - 2017</v>
      </c>
      <c r="I3217" s="1">
        <f t="shared" si="101"/>
        <v>6999.8799999999992</v>
      </c>
    </row>
    <row r="3218" spans="1:9" x14ac:dyDescent="0.2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 s="1">
        <f t="shared" si="100"/>
        <v>3361.91</v>
      </c>
      <c r="H3218" s="1" t="str">
        <f>_xlfn.XLOOKUP(C3218,Product!A:A,Product!B:B,"not found",0)</f>
        <v>Surly Straggler 650b - 2016</v>
      </c>
      <c r="I3218" s="1">
        <f t="shared" si="101"/>
        <v>3361.91</v>
      </c>
    </row>
    <row r="3219" spans="1:9" x14ac:dyDescent="0.2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 s="1">
        <f t="shared" si="100"/>
        <v>759.88</v>
      </c>
      <c r="H3219" s="1" t="str">
        <f>_xlfn.XLOOKUP(C3219,Product!A:A,Product!B:B,"not found",0)</f>
        <v>Haro Flightline One ST - 2017</v>
      </c>
      <c r="I3219" s="1">
        <f t="shared" si="101"/>
        <v>759.88</v>
      </c>
    </row>
    <row r="3220" spans="1:9" x14ac:dyDescent="0.2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 s="1">
        <f t="shared" si="100"/>
        <v>349.79</v>
      </c>
      <c r="H3220" s="1" t="str">
        <f>_xlfn.XLOOKUP(C3220,Product!A:A,Product!B:B,"not found",0)</f>
        <v>Trek Precaliber 24 (21-Speed) - Girls - 2017</v>
      </c>
      <c r="I3220" s="1">
        <f t="shared" si="101"/>
        <v>349.79</v>
      </c>
    </row>
    <row r="3221" spans="1:9" x14ac:dyDescent="0.2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 s="1">
        <f t="shared" si="100"/>
        <v>12999.88</v>
      </c>
      <c r="H3221" s="1" t="str">
        <f>_xlfn.XLOOKUP(C3221,Product!A:A,Product!B:B,"not found",0)</f>
        <v>Trek Silque SLR 8 Women's - 2017</v>
      </c>
      <c r="I3221" s="1">
        <f t="shared" si="101"/>
        <v>12999.88</v>
      </c>
    </row>
    <row r="3222" spans="1:9" x14ac:dyDescent="0.2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 s="1">
        <f t="shared" si="100"/>
        <v>5399.78</v>
      </c>
      <c r="H3222" s="1" t="str">
        <f>_xlfn.XLOOKUP(C3222,Product!A:A,Product!B:B,"not found",0)</f>
        <v>Trek Domane S 6 - 2017</v>
      </c>
      <c r="I3222" s="1">
        <f t="shared" si="101"/>
        <v>5399.78</v>
      </c>
    </row>
    <row r="3223" spans="1:9" x14ac:dyDescent="0.2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 s="1">
        <f t="shared" si="100"/>
        <v>5999.92</v>
      </c>
      <c r="H3223" s="1" t="str">
        <f>_xlfn.XLOOKUP(C3223,Product!A:A,Product!B:B,"not found",0)</f>
        <v>Trek Silque SLR 7 Women's - 2017</v>
      </c>
      <c r="I3223" s="1">
        <f t="shared" si="101"/>
        <v>5999.92</v>
      </c>
    </row>
    <row r="3224" spans="1:9" x14ac:dyDescent="0.2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 s="1">
        <f t="shared" si="100"/>
        <v>999.94</v>
      </c>
      <c r="H3224" s="1" t="str">
        <f>_xlfn.XLOOKUP(C3224,Product!A:A,Product!B:B,"not found",0)</f>
        <v>Trek X-Caliber 8 - 2017</v>
      </c>
      <c r="I3224" s="1">
        <f t="shared" si="101"/>
        <v>999.94</v>
      </c>
    </row>
    <row r="3225" spans="1:9" x14ac:dyDescent="0.2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 s="1">
        <f t="shared" si="100"/>
        <v>10599.779999999999</v>
      </c>
      <c r="H3225" s="1" t="str">
        <f>_xlfn.XLOOKUP(C3225,Product!A:A,Product!B:B,"not found",0)</f>
        <v>Trek Remedy 9.8 - 2017</v>
      </c>
      <c r="I3225" s="1">
        <f t="shared" si="101"/>
        <v>10599.779999999999</v>
      </c>
    </row>
    <row r="3226" spans="1:9" x14ac:dyDescent="0.2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 s="1">
        <f t="shared" si="100"/>
        <v>419.88</v>
      </c>
      <c r="H3226" s="1" t="str">
        <f>_xlfn.XLOOKUP(C3226,Product!A:A,Product!B:B,"not found",0)</f>
        <v>Haro Shredder 20 Girls - 2017</v>
      </c>
      <c r="I3226" s="1">
        <f t="shared" si="101"/>
        <v>419.88</v>
      </c>
    </row>
    <row r="3227" spans="1:9" x14ac:dyDescent="0.2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 s="1">
        <f t="shared" si="100"/>
        <v>5399.9299999999994</v>
      </c>
      <c r="H3227" s="1" t="str">
        <f>_xlfn.XLOOKUP(C3227,Product!A:A,Product!B:B,"not found",0)</f>
        <v>Trek Domane S 6 - 2017</v>
      </c>
      <c r="I3227" s="1">
        <f t="shared" si="101"/>
        <v>5399.9299999999994</v>
      </c>
    </row>
    <row r="3228" spans="1:9" x14ac:dyDescent="0.2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 s="1">
        <f t="shared" si="100"/>
        <v>481.79</v>
      </c>
      <c r="H3228" s="1" t="str">
        <f>_xlfn.XLOOKUP(C3228,Product!A:A,Product!B:B,"not found",0)</f>
        <v>Sun Bicycles Streamway - 2017</v>
      </c>
      <c r="I3228" s="1">
        <f t="shared" si="101"/>
        <v>481.79</v>
      </c>
    </row>
    <row r="3229" spans="1:9" x14ac:dyDescent="0.2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 s="1">
        <f t="shared" si="100"/>
        <v>419.91</v>
      </c>
      <c r="H3229" s="1" t="str">
        <f>_xlfn.XLOOKUP(C3229,Product!A:A,Product!B:B,"not found",0)</f>
        <v>Haro Shredder 20 - 2017</v>
      </c>
      <c r="I3229" s="1">
        <f t="shared" si="101"/>
        <v>419.91</v>
      </c>
    </row>
    <row r="3230" spans="1:9" x14ac:dyDescent="0.2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 s="1">
        <f t="shared" si="100"/>
        <v>1632.92</v>
      </c>
      <c r="H3230" s="1" t="str">
        <f>_xlfn.XLOOKUP(C3230,Product!A:A,Product!B:B,"not found",0)</f>
        <v>Surly Wednesday - 2017</v>
      </c>
      <c r="I3230" s="1">
        <f t="shared" si="101"/>
        <v>1632.92</v>
      </c>
    </row>
    <row r="3231" spans="1:9" x14ac:dyDescent="0.2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 s="1">
        <f t="shared" si="100"/>
        <v>1999.93</v>
      </c>
      <c r="H3231" s="1" t="str">
        <f>_xlfn.XLOOKUP(C3231,Product!A:A,Product!B:B,"not found",0)</f>
        <v>Surly Ice Cream Truck Frameset - 2017</v>
      </c>
      <c r="I3231" s="1">
        <f t="shared" si="101"/>
        <v>1999.93</v>
      </c>
    </row>
    <row r="3232" spans="1:9" x14ac:dyDescent="0.2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 s="1">
        <f t="shared" si="100"/>
        <v>209.92000000000002</v>
      </c>
      <c r="H3232" s="1" t="str">
        <f>_xlfn.XLOOKUP(C3232,Product!A:A,Product!B:B,"not found",0)</f>
        <v>Haro Shredder 20 Girls - 2017</v>
      </c>
      <c r="I3232" s="1">
        <f t="shared" si="101"/>
        <v>209.92000000000002</v>
      </c>
    </row>
    <row r="3233" spans="1:9" x14ac:dyDescent="0.2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 s="1">
        <f t="shared" si="100"/>
        <v>249.79000000000002</v>
      </c>
      <c r="H3233" s="1" t="str">
        <f>_xlfn.XLOOKUP(C3233,Product!A:A,Product!B:B,"not found",0)</f>
        <v>Haro Shredder Pro 20 - 2017</v>
      </c>
      <c r="I3233" s="1">
        <f t="shared" si="101"/>
        <v>249.79000000000002</v>
      </c>
    </row>
    <row r="3234" spans="1:9" x14ac:dyDescent="0.2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 s="1">
        <f t="shared" si="100"/>
        <v>3361.88</v>
      </c>
      <c r="H3234" s="1" t="str">
        <f>_xlfn.XLOOKUP(C3234,Product!A:A,Product!B:B,"not found",0)</f>
        <v>Surly Straggler 650b - 2016</v>
      </c>
      <c r="I3234" s="1">
        <f t="shared" si="101"/>
        <v>3361.88</v>
      </c>
    </row>
    <row r="3235" spans="1:9" x14ac:dyDescent="0.2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 s="1">
        <f t="shared" si="100"/>
        <v>941.93000000000006</v>
      </c>
      <c r="H3235" s="1" t="str">
        <f>_xlfn.XLOOKUP(C3235,Product!A:A,Product!B:B,"not found",0)</f>
        <v>Sun Bicycles Drifter 7 - 2017</v>
      </c>
      <c r="I3235" s="1">
        <f t="shared" si="101"/>
        <v>941.93000000000006</v>
      </c>
    </row>
    <row r="3236" spans="1:9" x14ac:dyDescent="0.2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 s="1">
        <f t="shared" si="100"/>
        <v>5999.91</v>
      </c>
      <c r="H3236" s="1" t="str">
        <f>_xlfn.XLOOKUP(C3236,Product!A:A,Product!B:B,"not found",0)</f>
        <v>Trek Conduit+ - 2016</v>
      </c>
      <c r="I3236" s="1">
        <f t="shared" si="101"/>
        <v>5999.91</v>
      </c>
    </row>
    <row r="3237" spans="1:9" x14ac:dyDescent="0.2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 s="1">
        <f t="shared" si="100"/>
        <v>749.89</v>
      </c>
      <c r="H3237" s="1" t="str">
        <f>_xlfn.XLOOKUP(C3237,Product!A:A,Product!B:B,"not found",0)</f>
        <v>Surly Ogre Frameset - 2017</v>
      </c>
      <c r="I3237" s="1">
        <f t="shared" si="101"/>
        <v>749.89</v>
      </c>
    </row>
    <row r="3238" spans="1:9" x14ac:dyDescent="0.2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 s="1">
        <f t="shared" si="100"/>
        <v>6999.78</v>
      </c>
      <c r="H3238" s="1" t="str">
        <f>_xlfn.XLOOKUP(C3238,Product!A:A,Product!B:B,"not found",0)</f>
        <v>Trek Domane SL 6 - 2017</v>
      </c>
      <c r="I3238" s="1">
        <f t="shared" si="101"/>
        <v>6999.78</v>
      </c>
    </row>
    <row r="3239" spans="1:9" x14ac:dyDescent="0.2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 s="1">
        <f t="shared" si="100"/>
        <v>2939.93</v>
      </c>
      <c r="H3239" s="1" t="str">
        <f>_xlfn.XLOOKUP(C3239,Product!A:A,Product!B:B,"not found",0)</f>
        <v>Haro Shift R3 - 2017</v>
      </c>
      <c r="I3239" s="1">
        <f t="shared" si="101"/>
        <v>2939.93</v>
      </c>
    </row>
    <row r="3240" spans="1:9" x14ac:dyDescent="0.2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 s="1">
        <f t="shared" si="100"/>
        <v>619.89</v>
      </c>
      <c r="H3240" s="1" t="str">
        <f>_xlfn.XLOOKUP(C3240,Product!A:A,Product!B:B,"not found",0)</f>
        <v>Sun Bicycles Biscayne Tandem 7 - 2017</v>
      </c>
      <c r="I3240" s="1">
        <f t="shared" si="101"/>
        <v>619.89</v>
      </c>
    </row>
    <row r="3241" spans="1:9" x14ac:dyDescent="0.2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 s="1">
        <f t="shared" si="100"/>
        <v>693.91</v>
      </c>
      <c r="H3241" s="1" t="str">
        <f>_xlfn.XLOOKUP(C3241,Product!A:A,Product!B:B,"not found",0)</f>
        <v>Sun Bicycles Lil Bolt Type-R - 2017</v>
      </c>
      <c r="I3241" s="1">
        <f t="shared" si="101"/>
        <v>693.91</v>
      </c>
    </row>
    <row r="3242" spans="1:9" x14ac:dyDescent="0.2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 s="1">
        <f t="shared" si="100"/>
        <v>9999.8799999999992</v>
      </c>
      <c r="H3242" s="1" t="str">
        <f>_xlfn.XLOOKUP(C3242,Product!A:A,Product!B:B,"not found",0)</f>
        <v>Trek Powerfly 8 FS Plus - 2017</v>
      </c>
      <c r="I3242" s="1">
        <f t="shared" si="101"/>
        <v>9999.8799999999992</v>
      </c>
    </row>
    <row r="3243" spans="1:9" x14ac:dyDescent="0.2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 s="1">
        <f t="shared" si="100"/>
        <v>7999.8799999999992</v>
      </c>
      <c r="H3243" s="1" t="str">
        <f>_xlfn.XLOOKUP(C3243,Product!A:A,Product!B:B,"not found",0)</f>
        <v>Trek Slash 8 27.5 - 2016</v>
      </c>
      <c r="I3243" s="1">
        <f t="shared" si="101"/>
        <v>7999.8799999999992</v>
      </c>
    </row>
    <row r="3244" spans="1:9" x14ac:dyDescent="0.2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 s="1">
        <f t="shared" si="100"/>
        <v>469.89</v>
      </c>
      <c r="H3244" s="1" t="str">
        <f>_xlfn.XLOOKUP(C3244,Product!A:A,Product!B:B,"not found",0)</f>
        <v>Surly Ice Cream Truck Frameset - 2016</v>
      </c>
      <c r="I3244" s="1">
        <f t="shared" si="101"/>
        <v>469.89</v>
      </c>
    </row>
    <row r="3245" spans="1:9" x14ac:dyDescent="0.2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 s="1">
        <f t="shared" si="100"/>
        <v>833.91</v>
      </c>
      <c r="H3245" s="1" t="str">
        <f>_xlfn.XLOOKUP(C3245,Product!A:A,Product!B:B,"not found",0)</f>
        <v>Sun Bicycles Cruz 7 - Women's - 2017</v>
      </c>
      <c r="I3245" s="1">
        <f t="shared" si="101"/>
        <v>833.91</v>
      </c>
    </row>
    <row r="3246" spans="1:9" x14ac:dyDescent="0.2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 s="1">
        <f t="shared" si="100"/>
        <v>1739.93</v>
      </c>
      <c r="H3246" s="1" t="str">
        <f>_xlfn.XLOOKUP(C3246,Product!A:A,Product!B:B,"not found",0)</f>
        <v>Haro SR 1.2 - 2017</v>
      </c>
      <c r="I3246" s="1">
        <f t="shared" si="101"/>
        <v>1739.93</v>
      </c>
    </row>
    <row r="3247" spans="1:9" x14ac:dyDescent="0.2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 s="1">
        <f t="shared" si="100"/>
        <v>1499.93</v>
      </c>
      <c r="H3247" s="1" t="str">
        <f>_xlfn.XLOOKUP(C3247,Product!A:A,Product!B:B,"not found",0)</f>
        <v>Ritchey Timberwolf Frameset - 2016</v>
      </c>
      <c r="I3247" s="1">
        <f t="shared" si="101"/>
        <v>1499.93</v>
      </c>
    </row>
    <row r="3248" spans="1:9" x14ac:dyDescent="0.2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 s="1">
        <f t="shared" si="100"/>
        <v>1199.93</v>
      </c>
      <c r="H3248" s="1" t="str">
        <f>_xlfn.XLOOKUP(C3248,Product!A:A,Product!B:B,"not found",0)</f>
        <v>Electra Townie Original 7D EQ - 2016</v>
      </c>
      <c r="I3248" s="1">
        <f t="shared" si="101"/>
        <v>1199.93</v>
      </c>
    </row>
    <row r="3249" spans="1:9" x14ac:dyDescent="0.2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 s="1">
        <f t="shared" si="100"/>
        <v>269.89</v>
      </c>
      <c r="H3249" s="1" t="str">
        <f>_xlfn.XLOOKUP(C3249,Product!A:A,Product!B:B,"not found",0)</f>
        <v>Electra Cruiser 1 (24-Inch) - 2016</v>
      </c>
      <c r="I3249" s="1">
        <f t="shared" si="101"/>
        <v>269.89</v>
      </c>
    </row>
    <row r="3250" spans="1:9" x14ac:dyDescent="0.2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 s="1">
        <f t="shared" si="100"/>
        <v>2199.91</v>
      </c>
      <c r="H3250" s="1" t="str">
        <f>_xlfn.XLOOKUP(C3250,Product!A:A,Product!B:B,"not found",0)</f>
        <v>Electra Amsterdam Fashion 7i Ladies' - 2017</v>
      </c>
      <c r="I3250" s="1">
        <f t="shared" si="101"/>
        <v>2199.91</v>
      </c>
    </row>
    <row r="3251" spans="1:9" x14ac:dyDescent="0.2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 s="1">
        <f t="shared" si="100"/>
        <v>549.91999999999996</v>
      </c>
      <c r="H3251" s="1" t="str">
        <f>_xlfn.XLOOKUP(C3251,Product!A:A,Product!B:B,"not found",0)</f>
        <v>Electra Townie Original 21D - 2016</v>
      </c>
      <c r="I3251" s="1">
        <f t="shared" si="101"/>
        <v>549.91999999999996</v>
      </c>
    </row>
    <row r="3252" spans="1:9" x14ac:dyDescent="0.2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 s="1">
        <f t="shared" si="100"/>
        <v>939.91</v>
      </c>
      <c r="H3252" s="1" t="str">
        <f>_xlfn.XLOOKUP(C3252,Product!A:A,Product!B:B,"not found",0)</f>
        <v>Trek Farley Alloy Frameset - 2017</v>
      </c>
      <c r="I3252" s="1">
        <f t="shared" si="101"/>
        <v>939.91</v>
      </c>
    </row>
    <row r="3253" spans="1:9" x14ac:dyDescent="0.2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 s="1">
        <f t="shared" si="100"/>
        <v>939.88</v>
      </c>
      <c r="H3253" s="1" t="str">
        <f>_xlfn.XLOOKUP(C3253,Product!A:A,Product!B:B,"not found",0)</f>
        <v>Surly Wednesday Frameset - 2017</v>
      </c>
      <c r="I3253" s="1">
        <f t="shared" si="101"/>
        <v>939.88</v>
      </c>
    </row>
    <row r="3254" spans="1:9" x14ac:dyDescent="0.2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 s="1">
        <f t="shared" si="100"/>
        <v>4999.79</v>
      </c>
      <c r="H3254" s="1" t="str">
        <f>_xlfn.XLOOKUP(C3254,Product!A:A,Product!B:B,"not found",0)</f>
        <v>Trek Madone 9.2 - 2017</v>
      </c>
      <c r="I3254" s="1">
        <f t="shared" si="101"/>
        <v>4999.79</v>
      </c>
    </row>
    <row r="3255" spans="1:9" x14ac:dyDescent="0.2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 s="1">
        <f t="shared" si="100"/>
        <v>419.93</v>
      </c>
      <c r="H3255" s="1" t="str">
        <f>_xlfn.XLOOKUP(C3255,Product!A:A,Product!B:B,"not found",0)</f>
        <v>Trek Precaliber 16 Boys - 2017</v>
      </c>
      <c r="I3255" s="1">
        <f t="shared" si="101"/>
        <v>419.93</v>
      </c>
    </row>
    <row r="3256" spans="1:9" x14ac:dyDescent="0.2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 s="1">
        <f t="shared" si="100"/>
        <v>599.88</v>
      </c>
      <c r="H3256" s="1" t="str">
        <f>_xlfn.XLOOKUP(C3256,Product!A:A,Product!B:B,"not found",0)</f>
        <v>Electra Girl's Hawaii 1 (20-inch) - 2015/2016</v>
      </c>
      <c r="I3256" s="1">
        <f t="shared" si="101"/>
        <v>599.88</v>
      </c>
    </row>
    <row r="3257" spans="1:9" x14ac:dyDescent="0.2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 s="1">
        <f t="shared" si="100"/>
        <v>699.91</v>
      </c>
      <c r="H3257" s="1" t="str">
        <f>_xlfn.XLOOKUP(C3257,Product!A:A,Product!B:B,"not found",0)</f>
        <v>Electra Moto 3i (20-inch) - Boy's - 2017</v>
      </c>
      <c r="I3257" s="1">
        <f t="shared" si="101"/>
        <v>699.91</v>
      </c>
    </row>
    <row r="3258" spans="1:9" x14ac:dyDescent="0.2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 s="1">
        <f t="shared" si="100"/>
        <v>379.79</v>
      </c>
      <c r="H3258" s="1" t="str">
        <f>_xlfn.XLOOKUP(C3258,Product!A:A,Product!B:B,"not found",0)</f>
        <v>Haro Flightline One ST - 2017</v>
      </c>
      <c r="I3258" s="1">
        <f t="shared" si="101"/>
        <v>379.79</v>
      </c>
    </row>
    <row r="3259" spans="1:9" x14ac:dyDescent="0.2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 s="1">
        <f t="shared" si="100"/>
        <v>539.94000000000005</v>
      </c>
      <c r="H3259" s="1" t="str">
        <f>_xlfn.XLOOKUP(C3259,Product!A:A,Product!B:B,"not found",0)</f>
        <v>Haro SR 1.1 - 2017</v>
      </c>
      <c r="I3259" s="1">
        <f t="shared" si="101"/>
        <v>539.94000000000005</v>
      </c>
    </row>
    <row r="3260" spans="1:9" x14ac:dyDescent="0.2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 s="1">
        <f t="shared" si="100"/>
        <v>1548.8</v>
      </c>
      <c r="H3260" s="1" t="str">
        <f>_xlfn.XLOOKUP(C3260,Product!A:A,Product!B:B,"not found",0)</f>
        <v>Surly Straggler - 2016</v>
      </c>
      <c r="I3260" s="1">
        <f t="shared" si="101"/>
        <v>1548.8</v>
      </c>
    </row>
    <row r="3261" spans="1:9" x14ac:dyDescent="0.2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 s="1">
        <f t="shared" si="100"/>
        <v>693.93000000000006</v>
      </c>
      <c r="H3261" s="1" t="str">
        <f>_xlfn.XLOOKUP(C3261,Product!A:A,Product!B:B,"not found",0)</f>
        <v>Sun Bicycles Lil Bolt Type-R - 2017</v>
      </c>
      <c r="I3261" s="1">
        <f t="shared" si="101"/>
        <v>693.93000000000006</v>
      </c>
    </row>
    <row r="3262" spans="1:9" x14ac:dyDescent="0.2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 s="1">
        <f t="shared" si="100"/>
        <v>833.78</v>
      </c>
      <c r="H3262" s="1" t="str">
        <f>_xlfn.XLOOKUP(C3262,Product!A:A,Product!B:B,"not found",0)</f>
        <v>Sun Bicycles Atlas X-Type - 2017</v>
      </c>
      <c r="I3262" s="1">
        <f t="shared" si="101"/>
        <v>833.78</v>
      </c>
    </row>
    <row r="3263" spans="1:9" x14ac:dyDescent="0.2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 s="1">
        <f t="shared" si="100"/>
        <v>5499.79</v>
      </c>
      <c r="H3263" s="1" t="str">
        <f>_xlfn.XLOOKUP(C3263,Product!A:A,Product!B:B,"not found",0)</f>
        <v>Trek Domane SLR 6 Disc - 2017</v>
      </c>
      <c r="I3263" s="1">
        <f t="shared" si="101"/>
        <v>5499.79</v>
      </c>
    </row>
    <row r="3264" spans="1:9" x14ac:dyDescent="0.2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 s="1">
        <f t="shared" si="100"/>
        <v>9999.93</v>
      </c>
      <c r="H3264" s="1" t="str">
        <f>_xlfn.XLOOKUP(C3264,Product!A:A,Product!B:B,"not found",0)</f>
        <v>Trek Powerfly 8 FS Plus - 2017</v>
      </c>
      <c r="I3264" s="1">
        <f t="shared" si="101"/>
        <v>9999.93</v>
      </c>
    </row>
    <row r="3265" spans="1:9" x14ac:dyDescent="0.2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 s="1">
        <f t="shared" si="100"/>
        <v>6399.78</v>
      </c>
      <c r="H3265" s="1" t="str">
        <f>_xlfn.XLOOKUP(C3265,Product!A:A,Product!B:B,"not found",0)</f>
        <v>Trek Domane SL Disc Frameset - 2017</v>
      </c>
      <c r="I3265" s="1">
        <f t="shared" si="101"/>
        <v>6399.78</v>
      </c>
    </row>
    <row r="3266" spans="1:9" x14ac:dyDescent="0.2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 s="1">
        <f t="shared" si="100"/>
        <v>3119.91</v>
      </c>
      <c r="H3266" s="1" t="str">
        <f>_xlfn.XLOOKUP(C3266,Product!A:A,Product!B:B,"not found",0)</f>
        <v>Sun Bicycles ElectroLite - 2017</v>
      </c>
      <c r="I3266" s="1">
        <f t="shared" si="101"/>
        <v>3119.91</v>
      </c>
    </row>
    <row r="3267" spans="1:9" x14ac:dyDescent="0.2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 s="1">
        <f t="shared" ref="G3267:G3330" si="102">(E3267*D3267)-F3267</f>
        <v>1103.93</v>
      </c>
      <c r="H3267" s="1" t="str">
        <f>_xlfn.XLOOKUP(C3267,Product!A:A,Product!B:B,"not found",0)</f>
        <v>Sun Bicycles Streamway 3 - 2017</v>
      </c>
      <c r="I3267" s="1">
        <f t="shared" ref="I3267:I3330" si="103">(D3267*E3267)-F3267</f>
        <v>1103.93</v>
      </c>
    </row>
    <row r="3268" spans="1:9" x14ac:dyDescent="0.2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 s="1">
        <f t="shared" si="102"/>
        <v>5299.94</v>
      </c>
      <c r="H3268" s="1" t="str">
        <f>_xlfn.XLOOKUP(C3268,Product!A:A,Product!B:B,"not found",0)</f>
        <v>Trek Fuel EX 9.8 27.5 Plus - 2017</v>
      </c>
      <c r="I3268" s="1">
        <f t="shared" si="103"/>
        <v>5299.94</v>
      </c>
    </row>
    <row r="3269" spans="1:9" x14ac:dyDescent="0.2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 s="1">
        <f t="shared" si="102"/>
        <v>1548.9</v>
      </c>
      <c r="H3269" s="1" t="str">
        <f>_xlfn.XLOOKUP(C3269,Product!A:A,Product!B:B,"not found",0)</f>
        <v>Surly Straggler - 2016</v>
      </c>
      <c r="I3269" s="1">
        <f t="shared" si="103"/>
        <v>1548.9</v>
      </c>
    </row>
    <row r="3270" spans="1:9" x14ac:dyDescent="0.2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 s="1">
        <f t="shared" si="102"/>
        <v>1665.88</v>
      </c>
      <c r="H3270" s="1" t="str">
        <f>_xlfn.XLOOKUP(C3270,Product!A:A,Product!B:B,"not found",0)</f>
        <v>Surly Troll Frameset - 2017</v>
      </c>
      <c r="I3270" s="1">
        <f t="shared" si="103"/>
        <v>1665.88</v>
      </c>
    </row>
    <row r="3271" spans="1:9" x14ac:dyDescent="0.2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 s="1">
        <f t="shared" si="102"/>
        <v>599.94000000000005</v>
      </c>
      <c r="H3271" s="1" t="str">
        <f>_xlfn.XLOOKUP(C3271,Product!A:A,Product!B:B,"not found",0)</f>
        <v>Electra Townie Original 7D EQ - 2016</v>
      </c>
      <c r="I3271" s="1">
        <f t="shared" si="103"/>
        <v>599.94000000000005</v>
      </c>
    </row>
    <row r="3272" spans="1:9" x14ac:dyDescent="0.2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 s="1">
        <f t="shared" si="102"/>
        <v>5799.9299999999994</v>
      </c>
      <c r="H3272" s="1" t="str">
        <f>_xlfn.XLOOKUP(C3272,Product!A:A,Product!B:B,"not found",0)</f>
        <v>Trek Fuel EX 8 29 - 2016</v>
      </c>
      <c r="I3272" s="1">
        <f t="shared" si="103"/>
        <v>5799.9299999999994</v>
      </c>
    </row>
    <row r="3273" spans="1:9" x14ac:dyDescent="0.2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 s="1">
        <f t="shared" si="102"/>
        <v>428.93</v>
      </c>
      <c r="H3273" s="1" t="str">
        <f>_xlfn.XLOOKUP(C3273,Product!A:A,Product!B:B,"not found",0)</f>
        <v>Pure Cycles Vine 8-Speed - 2016</v>
      </c>
      <c r="I3273" s="1">
        <f t="shared" si="103"/>
        <v>428.93</v>
      </c>
    </row>
    <row r="3274" spans="1:9" x14ac:dyDescent="0.2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 s="1">
        <f t="shared" si="102"/>
        <v>419.78000000000003</v>
      </c>
      <c r="H3274" s="1" t="str">
        <f>_xlfn.XLOOKUP(C3274,Product!A:A,Product!B:B,"not found",0)</f>
        <v>Trek Precaliber 16 Girls - 2017</v>
      </c>
      <c r="I3274" s="1">
        <f t="shared" si="103"/>
        <v>419.78000000000003</v>
      </c>
    </row>
    <row r="3275" spans="1:9" x14ac:dyDescent="0.2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 s="1">
        <f t="shared" si="102"/>
        <v>3499.79</v>
      </c>
      <c r="H3275" s="1" t="str">
        <f>_xlfn.XLOOKUP(C3275,Product!A:A,Product!B:B,"not found",0)</f>
        <v>Trek Boone 7 - 2017</v>
      </c>
      <c r="I3275" s="1">
        <f t="shared" si="103"/>
        <v>3499.79</v>
      </c>
    </row>
    <row r="3276" spans="1:9" x14ac:dyDescent="0.2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 s="1">
        <f t="shared" si="102"/>
        <v>349.89</v>
      </c>
      <c r="H3276" s="1" t="str">
        <f>_xlfn.XLOOKUP(C3276,Product!A:A,Product!B:B,"not found",0)</f>
        <v>Electra Savannah 3i (20-inch) - Girl's - 2017</v>
      </c>
      <c r="I3276" s="1">
        <f t="shared" si="103"/>
        <v>349.89</v>
      </c>
    </row>
    <row r="3277" spans="1:9" x14ac:dyDescent="0.2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 s="1">
        <f t="shared" si="102"/>
        <v>832.89</v>
      </c>
      <c r="H3277" s="1" t="str">
        <f>_xlfn.XLOOKUP(C3277,Product!A:A,Product!B:B,"not found",0)</f>
        <v>Surly Troll Frameset - 2017</v>
      </c>
      <c r="I3277" s="1">
        <f t="shared" si="103"/>
        <v>832.89</v>
      </c>
    </row>
    <row r="3278" spans="1:9" x14ac:dyDescent="0.2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 s="1">
        <f t="shared" si="102"/>
        <v>679.93000000000006</v>
      </c>
      <c r="H3278" s="1" t="str">
        <f>_xlfn.XLOOKUP(C3278,Product!A:A,Product!B:B,"not found",0)</f>
        <v>Electra Townie 7D (20-inch) - Boys' - 2017</v>
      </c>
      <c r="I3278" s="1">
        <f t="shared" si="103"/>
        <v>679.93000000000006</v>
      </c>
    </row>
    <row r="3279" spans="1:9" x14ac:dyDescent="0.2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 s="1">
        <f t="shared" si="102"/>
        <v>6499.8899999999994</v>
      </c>
      <c r="H3279" s="1" t="str">
        <f>_xlfn.XLOOKUP(C3279,Product!A:A,Product!B:B,"not found",0)</f>
        <v>Trek Silque SLR 8 Women's - 2017</v>
      </c>
      <c r="I3279" s="1">
        <f t="shared" si="103"/>
        <v>6499.8899999999994</v>
      </c>
    </row>
    <row r="3280" spans="1:9" x14ac:dyDescent="0.2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 s="1">
        <f t="shared" si="102"/>
        <v>533.89</v>
      </c>
      <c r="H3280" s="1" t="str">
        <f>_xlfn.XLOOKUP(C3280,Product!A:A,Product!B:B,"not found",0)</f>
        <v>Sun Bicycles Streamway 7 - 2017</v>
      </c>
      <c r="I3280" s="1">
        <f t="shared" si="103"/>
        <v>533.89</v>
      </c>
    </row>
    <row r="3281" spans="1:9" x14ac:dyDescent="0.2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 s="1">
        <f t="shared" si="102"/>
        <v>2499.79</v>
      </c>
      <c r="H3281" s="1" t="str">
        <f>_xlfn.XLOOKUP(C3281,Product!A:A,Product!B:B,"not found",0)</f>
        <v>Surly Karate Monkey 27.5+ Frameset - 2017</v>
      </c>
      <c r="I3281" s="1">
        <f t="shared" si="103"/>
        <v>2499.79</v>
      </c>
    </row>
    <row r="3282" spans="1:9" x14ac:dyDescent="0.2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 s="1">
        <f t="shared" si="102"/>
        <v>9999.7799999999988</v>
      </c>
      <c r="H3282" s="1" t="str">
        <f>_xlfn.XLOOKUP(C3282,Product!A:A,Product!B:B,"not found",0)</f>
        <v>Trek Madone 9.2 - 2017</v>
      </c>
      <c r="I3282" s="1">
        <f t="shared" si="103"/>
        <v>9999.7799999999988</v>
      </c>
    </row>
    <row r="3283" spans="1:9" x14ac:dyDescent="0.2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 s="1">
        <f t="shared" si="102"/>
        <v>219.78</v>
      </c>
      <c r="H3283" s="1" t="str">
        <f>_xlfn.XLOOKUP(C3283,Product!A:A,Product!B:B,"not found",0)</f>
        <v>Sun Bicycles Lil Kitt'n - 2017</v>
      </c>
      <c r="I3283" s="1">
        <f t="shared" si="103"/>
        <v>219.78</v>
      </c>
    </row>
    <row r="3284" spans="1:9" x14ac:dyDescent="0.2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 s="1">
        <f t="shared" si="102"/>
        <v>833.91</v>
      </c>
      <c r="H3284" s="1" t="str">
        <f>_xlfn.XLOOKUP(C3284,Product!A:A,Product!B:B,"not found",0)</f>
        <v>Sun Bicycles Cruz 7 - 2017</v>
      </c>
      <c r="I3284" s="1">
        <f t="shared" si="103"/>
        <v>833.91</v>
      </c>
    </row>
    <row r="3285" spans="1:9" x14ac:dyDescent="0.2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 s="1">
        <f t="shared" si="102"/>
        <v>539.93000000000006</v>
      </c>
      <c r="H3285" s="1" t="str">
        <f>_xlfn.XLOOKUP(C3285,Product!A:A,Product!B:B,"not found",0)</f>
        <v>Electra Cruiser 1 (24-Inch) - 2016</v>
      </c>
      <c r="I3285" s="1">
        <f t="shared" si="103"/>
        <v>539.93000000000006</v>
      </c>
    </row>
    <row r="3286" spans="1:9" x14ac:dyDescent="0.2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 s="1">
        <f t="shared" si="102"/>
        <v>1067.93</v>
      </c>
      <c r="H3286" s="1" t="str">
        <f>_xlfn.XLOOKUP(C3286,Product!A:A,Product!B:B,"not found",0)</f>
        <v>Sun Bicycles Streamway 7 - 2017</v>
      </c>
      <c r="I3286" s="1">
        <f t="shared" si="103"/>
        <v>1067.93</v>
      </c>
    </row>
    <row r="3287" spans="1:9" x14ac:dyDescent="0.2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 s="1">
        <f t="shared" si="102"/>
        <v>209.89000000000001</v>
      </c>
      <c r="H3287" s="1" t="str">
        <f>_xlfn.XLOOKUP(C3287,Product!A:A,Product!B:B,"not found",0)</f>
        <v>Haro Shredder 20 Girls - 2017</v>
      </c>
      <c r="I3287" s="1">
        <f t="shared" si="103"/>
        <v>209.89000000000001</v>
      </c>
    </row>
    <row r="3288" spans="1:9" x14ac:dyDescent="0.2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 s="1">
        <f t="shared" si="102"/>
        <v>899.93000000000006</v>
      </c>
      <c r="H3288" s="1" t="str">
        <f>_xlfn.XLOOKUP(C3288,Product!A:A,Product!B:B,"not found",0)</f>
        <v>Sun Bicycles Cruz 3 - 2017</v>
      </c>
      <c r="I3288" s="1">
        <f t="shared" si="103"/>
        <v>899.93000000000006</v>
      </c>
    </row>
    <row r="3289" spans="1:9" x14ac:dyDescent="0.2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 s="1">
        <f t="shared" si="102"/>
        <v>1079.8800000000001</v>
      </c>
      <c r="H3289" s="1" t="str">
        <f>_xlfn.XLOOKUP(C3289,Product!A:A,Product!B:B,"not found",0)</f>
        <v>Haro SR 1.1 - 2017</v>
      </c>
      <c r="I3289" s="1">
        <f t="shared" si="103"/>
        <v>1079.8800000000001</v>
      </c>
    </row>
    <row r="3290" spans="1:9" x14ac:dyDescent="0.2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 s="1">
        <f t="shared" si="102"/>
        <v>416.94</v>
      </c>
      <c r="H3290" s="1" t="str">
        <f>_xlfn.XLOOKUP(C3290,Product!A:A,Product!B:B,"not found",0)</f>
        <v>Sun Bicycles Cruz 7 - 2017</v>
      </c>
      <c r="I3290" s="1">
        <f t="shared" si="103"/>
        <v>416.94</v>
      </c>
    </row>
    <row r="3291" spans="1:9" x14ac:dyDescent="0.2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 s="1">
        <f t="shared" si="102"/>
        <v>999.88</v>
      </c>
      <c r="H3291" s="1" t="str">
        <f>_xlfn.XLOOKUP(C3291,Product!A:A,Product!B:B,"not found",0)</f>
        <v>Electra Townie Original 7D - 2015/2016</v>
      </c>
      <c r="I3291" s="1">
        <f t="shared" si="103"/>
        <v>999.88</v>
      </c>
    </row>
    <row r="3292" spans="1:9" x14ac:dyDescent="0.2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 s="1">
        <f t="shared" si="102"/>
        <v>3999.89</v>
      </c>
      <c r="H3292" s="1" t="str">
        <f>_xlfn.XLOOKUP(C3292,Product!A:A,Product!B:B,"not found",0)</f>
        <v>Trek Slash 8 27.5 - 2016</v>
      </c>
      <c r="I3292" s="1">
        <f t="shared" si="103"/>
        <v>3999.89</v>
      </c>
    </row>
    <row r="3293" spans="1:9" x14ac:dyDescent="0.2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 s="1">
        <f t="shared" si="102"/>
        <v>2999.88</v>
      </c>
      <c r="H3293" s="1" t="str">
        <f>_xlfn.XLOOKUP(C3293,Product!A:A,Product!B:B,"not found",0)</f>
        <v>Trek Stache 5 - 2017</v>
      </c>
      <c r="I3293" s="1">
        <f t="shared" si="103"/>
        <v>2999.88</v>
      </c>
    </row>
    <row r="3294" spans="1:9" x14ac:dyDescent="0.2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 s="1">
        <f t="shared" si="102"/>
        <v>833.91</v>
      </c>
      <c r="H3294" s="1" t="str">
        <f>_xlfn.XLOOKUP(C3294,Product!A:A,Product!B:B,"not found",0)</f>
        <v>Sun Bicycles Atlas X-Type - 2017</v>
      </c>
      <c r="I3294" s="1">
        <f t="shared" si="103"/>
        <v>833.91</v>
      </c>
    </row>
    <row r="3295" spans="1:9" x14ac:dyDescent="0.2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 s="1">
        <f t="shared" si="102"/>
        <v>1099.8800000000001</v>
      </c>
      <c r="H3295" s="1" t="str">
        <f>_xlfn.XLOOKUP(C3295,Product!A:A,Product!B:B,"not found",0)</f>
        <v>Haro Flightline Two 26 Plus - 2017</v>
      </c>
      <c r="I3295" s="1">
        <f t="shared" si="103"/>
        <v>1099.8800000000001</v>
      </c>
    </row>
    <row r="3296" spans="1:9" x14ac:dyDescent="0.2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 s="1">
        <f t="shared" si="102"/>
        <v>9999.91</v>
      </c>
      <c r="H3296" s="1" t="str">
        <f>_xlfn.XLOOKUP(C3296,Product!A:A,Product!B:B,"not found",0)</f>
        <v>Trek Fuel EX 9.8 29 - 2017</v>
      </c>
      <c r="I3296" s="1">
        <f t="shared" si="103"/>
        <v>9999.91</v>
      </c>
    </row>
    <row r="3297" spans="1:9" x14ac:dyDescent="0.2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 s="1">
        <f t="shared" si="102"/>
        <v>1799.89</v>
      </c>
      <c r="H3297" s="1" t="str">
        <f>_xlfn.XLOOKUP(C3297,Product!A:A,Product!B:B,"not found",0)</f>
        <v>Trek Remedy 29 Carbon Frameset - 2016</v>
      </c>
      <c r="I3297" s="1">
        <f t="shared" si="103"/>
        <v>1799.89</v>
      </c>
    </row>
    <row r="3298" spans="1:9" x14ac:dyDescent="0.2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 s="1">
        <f t="shared" si="102"/>
        <v>1199.9100000000001</v>
      </c>
      <c r="H3298" s="1" t="str">
        <f>_xlfn.XLOOKUP(C3298,Product!A:A,Product!B:B,"not found",0)</f>
        <v>Electra Townie Original 7D EQ - Women's - 2016</v>
      </c>
      <c r="I3298" s="1">
        <f t="shared" si="103"/>
        <v>1199.9100000000001</v>
      </c>
    </row>
    <row r="3299" spans="1:9" x14ac:dyDescent="0.2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 s="1">
        <f t="shared" si="102"/>
        <v>999.89</v>
      </c>
      <c r="H3299" s="1" t="str">
        <f>_xlfn.XLOOKUP(C3299,Product!A:A,Product!B:B,"not found",0)</f>
        <v>Surly Ice Cream Truck Frameset - 2017</v>
      </c>
      <c r="I3299" s="1">
        <f t="shared" si="103"/>
        <v>999.89</v>
      </c>
    </row>
    <row r="3300" spans="1:9" x14ac:dyDescent="0.2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 s="1">
        <f t="shared" si="102"/>
        <v>833.93000000000006</v>
      </c>
      <c r="H3300" s="1" t="str">
        <f>_xlfn.XLOOKUP(C3300,Product!A:A,Product!B:B,"not found",0)</f>
        <v>Sun Bicycles Cruz 7 - Women's - 2017</v>
      </c>
      <c r="I3300" s="1">
        <f t="shared" si="103"/>
        <v>833.93000000000006</v>
      </c>
    </row>
    <row r="3301" spans="1:9" x14ac:dyDescent="0.2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 s="1">
        <f t="shared" si="102"/>
        <v>899.78</v>
      </c>
      <c r="H3301" s="1" t="str">
        <f>_xlfn.XLOOKUP(C3301,Product!A:A,Product!B:B,"not found",0)</f>
        <v>Sun Bicycles Cruz 3 - Women's - 2017</v>
      </c>
      <c r="I3301" s="1">
        <f t="shared" si="103"/>
        <v>899.78</v>
      </c>
    </row>
    <row r="3302" spans="1:9" x14ac:dyDescent="0.2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 s="1">
        <f t="shared" si="102"/>
        <v>979.93000000000006</v>
      </c>
      <c r="H3302" s="1" t="str">
        <f>_xlfn.XLOOKUP(C3302,Product!A:A,Product!B:B,"not found",0)</f>
        <v>Electra Townie 3i EQ (20-inch) - Boys' - 2017</v>
      </c>
      <c r="I3302" s="1">
        <f t="shared" si="103"/>
        <v>979.93000000000006</v>
      </c>
    </row>
    <row r="3303" spans="1:9" x14ac:dyDescent="0.2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 s="1">
        <f t="shared" si="102"/>
        <v>299.79000000000002</v>
      </c>
      <c r="H3303" s="1" t="str">
        <f>_xlfn.XLOOKUP(C3303,Product!A:A,Product!B:B,"not found",0)</f>
        <v>Electra Sugar Skulls 1 (20-inch) - Girl's - 2017</v>
      </c>
      <c r="I3303" s="1">
        <f t="shared" si="103"/>
        <v>299.79000000000002</v>
      </c>
    </row>
    <row r="3304" spans="1:9" x14ac:dyDescent="0.2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 s="1">
        <f t="shared" si="102"/>
        <v>1499.79</v>
      </c>
      <c r="H3304" s="1" t="str">
        <f>_xlfn.XLOOKUP(C3304,Product!A:A,Product!B:B,"not found",0)</f>
        <v>Trek Emonda S 4 - 2017</v>
      </c>
      <c r="I3304" s="1">
        <f t="shared" si="103"/>
        <v>1499.79</v>
      </c>
    </row>
    <row r="3305" spans="1:9" x14ac:dyDescent="0.2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 s="1">
        <f t="shared" si="102"/>
        <v>833.88</v>
      </c>
      <c r="H3305" s="1" t="str">
        <f>_xlfn.XLOOKUP(C3305,Product!A:A,Product!B:B,"not found",0)</f>
        <v>Sun Bicycles Cruz 7 - 2017</v>
      </c>
      <c r="I3305" s="1">
        <f t="shared" si="103"/>
        <v>833.88</v>
      </c>
    </row>
    <row r="3306" spans="1:9" x14ac:dyDescent="0.2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 s="1">
        <f t="shared" si="102"/>
        <v>189.92000000000002</v>
      </c>
      <c r="H3306" s="1" t="str">
        <f>_xlfn.XLOOKUP(C3306,Product!A:A,Product!B:B,"not found",0)</f>
        <v>Trek Precaliber 12 Girls - 2017</v>
      </c>
      <c r="I3306" s="1">
        <f t="shared" si="103"/>
        <v>189.92000000000002</v>
      </c>
    </row>
    <row r="3307" spans="1:9" x14ac:dyDescent="0.2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 s="1">
        <f t="shared" si="102"/>
        <v>1067.9100000000001</v>
      </c>
      <c r="H3307" s="1" t="str">
        <f>_xlfn.XLOOKUP(C3307,Product!A:A,Product!B:B,"not found",0)</f>
        <v>Sun Bicycles Streamway 7 - 2017</v>
      </c>
      <c r="I3307" s="1">
        <f t="shared" si="103"/>
        <v>1067.9100000000001</v>
      </c>
    </row>
    <row r="3308" spans="1:9" x14ac:dyDescent="0.2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 s="1">
        <f t="shared" si="102"/>
        <v>832.92</v>
      </c>
      <c r="H3308" s="1" t="str">
        <f>_xlfn.XLOOKUP(C3308,Product!A:A,Product!B:B,"not found",0)</f>
        <v>Surly Troll Frameset - 2017</v>
      </c>
      <c r="I3308" s="1">
        <f t="shared" si="103"/>
        <v>832.92</v>
      </c>
    </row>
    <row r="3309" spans="1:9" x14ac:dyDescent="0.2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 s="1">
        <f t="shared" si="102"/>
        <v>489.79</v>
      </c>
      <c r="H3309" s="1" t="str">
        <f>_xlfn.XLOOKUP(C3309,Product!A:A,Product!B:B,"not found",0)</f>
        <v>Electra Townie Original 7D - 2017</v>
      </c>
      <c r="I3309" s="1">
        <f t="shared" si="103"/>
        <v>489.79</v>
      </c>
    </row>
    <row r="3310" spans="1:9" x14ac:dyDescent="0.2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 s="1">
        <f t="shared" si="102"/>
        <v>1680.79</v>
      </c>
      <c r="H3310" s="1" t="str">
        <f>_xlfn.XLOOKUP(C3310,Product!A:A,Product!B:B,"not found",0)</f>
        <v>Surly Straggler 650b - 2016</v>
      </c>
      <c r="I3310" s="1">
        <f t="shared" si="103"/>
        <v>1680.79</v>
      </c>
    </row>
    <row r="3311" spans="1:9" x14ac:dyDescent="0.2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 s="1">
        <f t="shared" si="102"/>
        <v>659.79</v>
      </c>
      <c r="H3311" s="1" t="str">
        <f>_xlfn.XLOOKUP(C3311,Product!A:A,Product!B:B,"not found",0)</f>
        <v>Electra Amsterdam Original 3i Ladies' - 2017</v>
      </c>
      <c r="I3311" s="1">
        <f t="shared" si="103"/>
        <v>659.79</v>
      </c>
    </row>
    <row r="3312" spans="1:9" x14ac:dyDescent="0.2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 s="1">
        <f t="shared" si="102"/>
        <v>2999.93</v>
      </c>
      <c r="H3312" s="1" t="str">
        <f>_xlfn.XLOOKUP(C3312,Product!A:A,Product!B:B,"not found",0)</f>
        <v>Trek Stache 5 - 2017</v>
      </c>
      <c r="I3312" s="1">
        <f t="shared" si="103"/>
        <v>2999.93</v>
      </c>
    </row>
    <row r="3313" spans="1:9" x14ac:dyDescent="0.2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 s="1">
        <f t="shared" si="102"/>
        <v>659.92</v>
      </c>
      <c r="H3313" s="1" t="str">
        <f>_xlfn.XLOOKUP(C3313,Product!A:A,Product!B:B,"not found",0)</f>
        <v>Electra Amsterdam Original 3i Ladies' - 2017</v>
      </c>
      <c r="I3313" s="1">
        <f t="shared" si="103"/>
        <v>659.92</v>
      </c>
    </row>
    <row r="3314" spans="1:9" x14ac:dyDescent="0.2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 s="1">
        <f t="shared" si="102"/>
        <v>269.92</v>
      </c>
      <c r="H3314" s="1" t="str">
        <f>_xlfn.XLOOKUP(C3314,Product!A:A,Product!B:B,"not found",0)</f>
        <v>Electra Girl's Hawaii 1 (16-inch) - 2015/2016</v>
      </c>
      <c r="I3314" s="1">
        <f t="shared" si="103"/>
        <v>269.92</v>
      </c>
    </row>
    <row r="3315" spans="1:9" x14ac:dyDescent="0.2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 s="1">
        <f t="shared" si="102"/>
        <v>1599.93</v>
      </c>
      <c r="H3315" s="1" t="str">
        <f>_xlfn.XLOOKUP(C3315,Product!A:A,Product!B:B,"not found",0)</f>
        <v>Electra Glam Punk 3i Ladies' - 2017</v>
      </c>
      <c r="I3315" s="1">
        <f t="shared" si="103"/>
        <v>1599.93</v>
      </c>
    </row>
    <row r="3316" spans="1:9" x14ac:dyDescent="0.2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 s="1">
        <f t="shared" si="102"/>
        <v>499.88</v>
      </c>
      <c r="H3316" s="1" t="str">
        <f>_xlfn.XLOOKUP(C3316,Product!A:A,Product!B:B,"not found",0)</f>
        <v>Haro Shredder Pro 20 - 2017</v>
      </c>
      <c r="I3316" s="1">
        <f t="shared" si="103"/>
        <v>499.88</v>
      </c>
    </row>
    <row r="3317" spans="1:9" x14ac:dyDescent="0.2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 s="1">
        <f t="shared" si="102"/>
        <v>979.91</v>
      </c>
      <c r="H3317" s="1" t="str">
        <f>_xlfn.XLOOKUP(C3317,Product!A:A,Product!B:B,"not found",0)</f>
        <v>Electra Straight 8 3i (20-inch) - Boy's - 2017</v>
      </c>
      <c r="I3317" s="1">
        <f t="shared" si="103"/>
        <v>979.91</v>
      </c>
    </row>
    <row r="3318" spans="1:9" x14ac:dyDescent="0.2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 s="1">
        <f t="shared" si="102"/>
        <v>1499.94</v>
      </c>
      <c r="H3318" s="1" t="str">
        <f>_xlfn.XLOOKUP(C3318,Product!A:A,Product!B:B,"not found",0)</f>
        <v>Trek Emonda S 4 - 2017</v>
      </c>
      <c r="I3318" s="1">
        <f t="shared" si="103"/>
        <v>1499.94</v>
      </c>
    </row>
    <row r="3319" spans="1:9" x14ac:dyDescent="0.2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 s="1">
        <f t="shared" si="102"/>
        <v>4999.9399999999996</v>
      </c>
      <c r="H3319" s="1" t="str">
        <f>_xlfn.XLOOKUP(C3319,Product!A:A,Product!B:B,"not found",0)</f>
        <v>Trek Madone 9.2 - 2017</v>
      </c>
      <c r="I3319" s="1">
        <f t="shared" si="103"/>
        <v>4999.9399999999996</v>
      </c>
    </row>
    <row r="3320" spans="1:9" x14ac:dyDescent="0.2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 s="1">
        <f t="shared" si="102"/>
        <v>329.79</v>
      </c>
      <c r="H3320" s="1" t="str">
        <f>_xlfn.XLOOKUP(C3320,Product!A:A,Product!B:B,"not found",0)</f>
        <v>Haro Downtown 16 - 2017</v>
      </c>
      <c r="I3320" s="1">
        <f t="shared" si="103"/>
        <v>329.79</v>
      </c>
    </row>
    <row r="3321" spans="1:9" x14ac:dyDescent="0.2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 s="1">
        <f t="shared" si="102"/>
        <v>249.89000000000001</v>
      </c>
      <c r="H3321" s="1" t="str">
        <f>_xlfn.XLOOKUP(C3321,Product!A:A,Product!B:B,"not found",0)</f>
        <v>Haro Shredder Pro 20 - 2017</v>
      </c>
      <c r="I3321" s="1">
        <f t="shared" si="103"/>
        <v>249.89000000000001</v>
      </c>
    </row>
    <row r="3322" spans="1:9" x14ac:dyDescent="0.2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 s="1">
        <f t="shared" si="102"/>
        <v>999.94</v>
      </c>
      <c r="H3322" s="1" t="str">
        <f>_xlfn.XLOOKUP(C3322,Product!A:A,Product!B:B,"not found",0)</f>
        <v>Trek X-Caliber 8 - 2017</v>
      </c>
      <c r="I3322" s="1">
        <f t="shared" si="103"/>
        <v>999.94</v>
      </c>
    </row>
    <row r="3323" spans="1:9" x14ac:dyDescent="0.2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 s="1">
        <f t="shared" si="102"/>
        <v>349.94</v>
      </c>
      <c r="H3323" s="1" t="str">
        <f>_xlfn.XLOOKUP(C3323,Product!A:A,Product!B:B,"not found",0)</f>
        <v>Trek Precaliber 24 (21-Speed) - Girls - 2017</v>
      </c>
      <c r="I3323" s="1">
        <f t="shared" si="103"/>
        <v>349.94</v>
      </c>
    </row>
    <row r="3324" spans="1:9" x14ac:dyDescent="0.2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 s="1">
        <f t="shared" si="102"/>
        <v>963.91</v>
      </c>
      <c r="H3324" s="1" t="str">
        <f>_xlfn.XLOOKUP(C3324,Product!A:A,Product!B:B,"not found",0)</f>
        <v>Sun Bicycles Streamway - 2017</v>
      </c>
      <c r="I3324" s="1">
        <f t="shared" si="103"/>
        <v>963.91</v>
      </c>
    </row>
    <row r="3325" spans="1:9" x14ac:dyDescent="0.2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 s="1">
        <f t="shared" si="102"/>
        <v>539.88</v>
      </c>
      <c r="H3325" s="1" t="str">
        <f>_xlfn.XLOOKUP(C3325,Product!A:A,Product!B:B,"not found",0)</f>
        <v>Electra Cruiser 1 (24-Inch) - 2016</v>
      </c>
      <c r="I3325" s="1">
        <f t="shared" si="103"/>
        <v>539.88</v>
      </c>
    </row>
    <row r="3326" spans="1:9" x14ac:dyDescent="0.2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 s="1">
        <f t="shared" si="102"/>
        <v>1999.93</v>
      </c>
      <c r="H3326" s="1" t="str">
        <f>_xlfn.XLOOKUP(C3326,Product!A:A,Product!B:B,"not found",0)</f>
        <v>Surly Ice Cream Truck Frameset - 2017</v>
      </c>
      <c r="I3326" s="1">
        <f t="shared" si="103"/>
        <v>1999.93</v>
      </c>
    </row>
    <row r="3327" spans="1:9" x14ac:dyDescent="0.2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 s="1">
        <f t="shared" si="102"/>
        <v>4999.92</v>
      </c>
      <c r="H3327" s="1" t="str">
        <f>_xlfn.XLOOKUP(C3327,Product!A:A,Product!B:B,"not found",0)</f>
        <v>Trek Madone 9.2 - 2017</v>
      </c>
      <c r="I3327" s="1">
        <f t="shared" si="103"/>
        <v>4999.92</v>
      </c>
    </row>
    <row r="3328" spans="1:9" x14ac:dyDescent="0.2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 s="1">
        <f t="shared" si="102"/>
        <v>699.78</v>
      </c>
      <c r="H3328" s="1" t="str">
        <f>_xlfn.XLOOKUP(C3328,Product!A:A,Product!B:B,"not found",0)</f>
        <v>Trek Precaliber 24 (21-Speed) - Girls - 2017</v>
      </c>
      <c r="I3328" s="1">
        <f t="shared" si="103"/>
        <v>699.78</v>
      </c>
    </row>
    <row r="3329" spans="1:9" x14ac:dyDescent="0.2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 s="1">
        <f t="shared" si="102"/>
        <v>549.94000000000005</v>
      </c>
      <c r="H3329" s="1" t="str">
        <f>_xlfn.XLOOKUP(C3329,Product!A:A,Product!B:B,"not found",0)</f>
        <v>Electra Townie Original 21D - 2016</v>
      </c>
      <c r="I3329" s="1">
        <f t="shared" si="103"/>
        <v>549.94000000000005</v>
      </c>
    </row>
    <row r="3330" spans="1:9" x14ac:dyDescent="0.2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 s="1">
        <f t="shared" si="102"/>
        <v>551.89</v>
      </c>
      <c r="H3330" s="1" t="str">
        <f>_xlfn.XLOOKUP(C3330,Product!A:A,Product!B:B,"not found",0)</f>
        <v>Sun Bicycles Streamway 3 - 2017</v>
      </c>
      <c r="I3330" s="1">
        <f t="shared" si="103"/>
        <v>551.89</v>
      </c>
    </row>
    <row r="3331" spans="1:9" x14ac:dyDescent="0.2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 s="1">
        <f t="shared" ref="G3331:G3394" si="104">(E3331*D3331)-F3331</f>
        <v>939.93000000000006</v>
      </c>
      <c r="H3331" s="1" t="str">
        <f>_xlfn.XLOOKUP(C3331,Product!A:A,Product!B:B,"not found",0)</f>
        <v>Surly Ice Cream Truck Frameset - 2016</v>
      </c>
      <c r="I3331" s="1">
        <f t="shared" ref="I3331:I3394" si="105">(D3331*E3331)-F3331</f>
        <v>939.93000000000006</v>
      </c>
    </row>
    <row r="3332" spans="1:9" x14ac:dyDescent="0.2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 s="1">
        <f t="shared" si="104"/>
        <v>428.8</v>
      </c>
      <c r="H3332" s="1" t="str">
        <f>_xlfn.XLOOKUP(C3332,Product!A:A,Product!B:B,"not found",0)</f>
        <v>Pure Cycles Vine 8-Speed - 2016</v>
      </c>
      <c r="I3332" s="1">
        <f t="shared" si="105"/>
        <v>428.8</v>
      </c>
    </row>
    <row r="3333" spans="1:9" x14ac:dyDescent="0.2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 s="1">
        <f t="shared" si="104"/>
        <v>1559.92</v>
      </c>
      <c r="H3333" s="1" t="str">
        <f>_xlfn.XLOOKUP(C3333,Product!A:A,Product!B:B,"not found",0)</f>
        <v>Sun Bicycles ElectroLite - 2017</v>
      </c>
      <c r="I3333" s="1">
        <f t="shared" si="105"/>
        <v>1559.92</v>
      </c>
    </row>
    <row r="3334" spans="1:9" x14ac:dyDescent="0.2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 s="1">
        <f t="shared" si="104"/>
        <v>501.78000000000003</v>
      </c>
      <c r="H3334" s="1" t="str">
        <f>_xlfn.XLOOKUP(C3334,Product!A:A,Product!B:B,"not found",0)</f>
        <v>Sun Bicycles Revolutions 24 - Girl's - 2017</v>
      </c>
      <c r="I3334" s="1">
        <f t="shared" si="105"/>
        <v>501.78000000000003</v>
      </c>
    </row>
    <row r="3335" spans="1:9" x14ac:dyDescent="0.2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 s="1">
        <f t="shared" si="104"/>
        <v>899.93000000000006</v>
      </c>
      <c r="H3335" s="1" t="str">
        <f>_xlfn.XLOOKUP(C3335,Product!A:A,Product!B:B,"not found",0)</f>
        <v>Sun Bicycles Cruz 3 - 2017</v>
      </c>
      <c r="I3335" s="1">
        <f t="shared" si="105"/>
        <v>899.93000000000006</v>
      </c>
    </row>
    <row r="3336" spans="1:9" x14ac:dyDescent="0.2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 s="1">
        <f t="shared" si="104"/>
        <v>939.88</v>
      </c>
      <c r="H3336" s="1" t="str">
        <f>_xlfn.XLOOKUP(C3336,Product!A:A,Product!B:B,"not found",0)</f>
        <v>Surly Ice Cream Truck Frameset - 2016</v>
      </c>
      <c r="I3336" s="1">
        <f t="shared" si="105"/>
        <v>939.88</v>
      </c>
    </row>
    <row r="3337" spans="1:9" x14ac:dyDescent="0.2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 s="1">
        <f t="shared" si="104"/>
        <v>832.92</v>
      </c>
      <c r="H3337" s="1" t="str">
        <f>_xlfn.XLOOKUP(C3337,Product!A:A,Product!B:B,"not found",0)</f>
        <v>Sun Bicycles Spider 3i - 2017</v>
      </c>
      <c r="I3337" s="1">
        <f t="shared" si="105"/>
        <v>832.92</v>
      </c>
    </row>
    <row r="3338" spans="1:9" x14ac:dyDescent="0.2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 s="1">
        <f t="shared" si="104"/>
        <v>1599.93</v>
      </c>
      <c r="H3338" s="1" t="str">
        <f>_xlfn.XLOOKUP(C3338,Product!A:A,Product!B:B,"not found",0)</f>
        <v>Electra Glam Punk 3i Ladies' - 2017</v>
      </c>
      <c r="I3338" s="1">
        <f t="shared" si="105"/>
        <v>1599.93</v>
      </c>
    </row>
    <row r="3339" spans="1:9" x14ac:dyDescent="0.2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 s="1">
        <f t="shared" si="104"/>
        <v>941.93000000000006</v>
      </c>
      <c r="H3339" s="1" t="str">
        <f>_xlfn.XLOOKUP(C3339,Product!A:A,Product!B:B,"not found",0)</f>
        <v>Sun Bicycles Drifter 7 - Women's - 2017</v>
      </c>
      <c r="I3339" s="1">
        <f t="shared" si="105"/>
        <v>941.93000000000006</v>
      </c>
    </row>
    <row r="3340" spans="1:9" x14ac:dyDescent="0.2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 s="1">
        <f t="shared" si="104"/>
        <v>149.94</v>
      </c>
      <c r="H3340" s="1" t="str">
        <f>_xlfn.XLOOKUP(C3340,Product!A:A,Product!B:B,"not found",0)</f>
        <v>Trek Girl's Kickster - 2017</v>
      </c>
      <c r="I3340" s="1">
        <f t="shared" si="105"/>
        <v>149.94</v>
      </c>
    </row>
    <row r="3341" spans="1:9" x14ac:dyDescent="0.2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 s="1">
        <f t="shared" si="104"/>
        <v>599.89</v>
      </c>
      <c r="H3341" s="1" t="str">
        <f>_xlfn.XLOOKUP(C3341,Product!A:A,Product!B:B,"not found",0)</f>
        <v>Electra Townie Original 7D EQ - Women's - 2016</v>
      </c>
      <c r="I3341" s="1">
        <f t="shared" si="105"/>
        <v>599.89</v>
      </c>
    </row>
    <row r="3342" spans="1:9" x14ac:dyDescent="0.2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 s="1">
        <f t="shared" si="104"/>
        <v>3265.88</v>
      </c>
      <c r="H3342" s="1" t="str">
        <f>_xlfn.XLOOKUP(C3342,Product!A:A,Product!B:B,"not found",0)</f>
        <v>Surly Wednesday - 2017</v>
      </c>
      <c r="I3342" s="1">
        <f t="shared" si="105"/>
        <v>3265.88</v>
      </c>
    </row>
    <row r="3343" spans="1:9" x14ac:dyDescent="0.2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 s="1">
        <f t="shared" si="104"/>
        <v>759.78</v>
      </c>
      <c r="H3343" s="1" t="str">
        <f>_xlfn.XLOOKUP(C3343,Product!A:A,Product!B:B,"not found",0)</f>
        <v>Haro Flightline One ST - 2017</v>
      </c>
      <c r="I3343" s="1">
        <f t="shared" si="105"/>
        <v>759.78</v>
      </c>
    </row>
    <row r="3344" spans="1:9" x14ac:dyDescent="0.2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 s="1">
        <f t="shared" si="104"/>
        <v>1469.92</v>
      </c>
      <c r="H3344" s="1" t="str">
        <f>_xlfn.XLOOKUP(C3344,Product!A:A,Product!B:B,"not found",0)</f>
        <v>Haro Shift R3 - 2017</v>
      </c>
      <c r="I3344" s="1">
        <f t="shared" si="105"/>
        <v>1469.92</v>
      </c>
    </row>
    <row r="3345" spans="1:9" x14ac:dyDescent="0.2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 s="1">
        <f t="shared" si="104"/>
        <v>599.88</v>
      </c>
      <c r="H3345" s="1" t="str">
        <f>_xlfn.XLOOKUP(C3345,Product!A:A,Product!B:B,"not found",0)</f>
        <v>Electra Girl's Hawaii 1 16" - 2017</v>
      </c>
      <c r="I3345" s="1">
        <f t="shared" si="105"/>
        <v>599.88</v>
      </c>
    </row>
    <row r="3346" spans="1:9" x14ac:dyDescent="0.2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 s="1">
        <f t="shared" si="104"/>
        <v>439.92</v>
      </c>
      <c r="H3346" s="1" t="str">
        <f>_xlfn.XLOOKUP(C3346,Product!A:A,Product!B:B,"not found",0)</f>
        <v>Electra Cruiser Lux 1 - 2017</v>
      </c>
      <c r="I3346" s="1">
        <f t="shared" si="105"/>
        <v>439.92</v>
      </c>
    </row>
    <row r="3347" spans="1:9" x14ac:dyDescent="0.2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 s="1">
        <f t="shared" si="104"/>
        <v>1099.8800000000001</v>
      </c>
      <c r="H3347" s="1" t="str">
        <f>_xlfn.XLOOKUP(C3347,Product!A:A,Product!B:B,"not found",0)</f>
        <v>Electra Townie Original 21D - 2016</v>
      </c>
      <c r="I3347" s="1">
        <f t="shared" si="105"/>
        <v>1099.8800000000001</v>
      </c>
    </row>
    <row r="3348" spans="1:9" x14ac:dyDescent="0.2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 s="1">
        <f t="shared" si="104"/>
        <v>1469.89</v>
      </c>
      <c r="H3348" s="1" t="str">
        <f>_xlfn.XLOOKUP(C3348,Product!A:A,Product!B:B,"not found",0)</f>
        <v>Haro Shift R3 - 2017</v>
      </c>
      <c r="I3348" s="1">
        <f t="shared" si="105"/>
        <v>1469.89</v>
      </c>
    </row>
    <row r="3349" spans="1:9" x14ac:dyDescent="0.2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 s="1">
        <f t="shared" si="104"/>
        <v>2999.79</v>
      </c>
      <c r="H3349" s="1" t="str">
        <f>_xlfn.XLOOKUP(C3349,Product!A:A,Product!B:B,"not found",0)</f>
        <v>Trek Conduit+ - 2016</v>
      </c>
      <c r="I3349" s="1">
        <f t="shared" si="105"/>
        <v>2999.79</v>
      </c>
    </row>
    <row r="3350" spans="1:9" x14ac:dyDescent="0.2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 s="1">
        <f t="shared" si="104"/>
        <v>833.88</v>
      </c>
      <c r="H3350" s="1" t="str">
        <f>_xlfn.XLOOKUP(C3350,Product!A:A,Product!B:B,"not found",0)</f>
        <v>Sun Bicycles Atlas X-Type - 2017</v>
      </c>
      <c r="I3350" s="1">
        <f t="shared" si="105"/>
        <v>833.88</v>
      </c>
    </row>
    <row r="3351" spans="1:9" x14ac:dyDescent="0.2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 s="1">
        <f t="shared" si="104"/>
        <v>549.91999999999996</v>
      </c>
      <c r="H3351" s="1" t="str">
        <f>_xlfn.XLOOKUP(C3351,Product!A:A,Product!B:B,"not found",0)</f>
        <v>Haro Flightline Two 26 Plus - 2017</v>
      </c>
      <c r="I3351" s="1">
        <f t="shared" si="105"/>
        <v>549.91999999999996</v>
      </c>
    </row>
    <row r="3352" spans="1:9" x14ac:dyDescent="0.2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 s="1">
        <f t="shared" si="104"/>
        <v>269.79000000000002</v>
      </c>
      <c r="H3352" s="1" t="str">
        <f>_xlfn.XLOOKUP(C3352,Product!A:A,Product!B:B,"not found",0)</f>
        <v>Electra Girl's Hawaii 1 (16-inch) - 2015/2016</v>
      </c>
      <c r="I3352" s="1">
        <f t="shared" si="105"/>
        <v>269.79000000000002</v>
      </c>
    </row>
    <row r="3353" spans="1:9" x14ac:dyDescent="0.2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 s="1">
        <f t="shared" si="104"/>
        <v>1999.88</v>
      </c>
      <c r="H3353" s="1" t="str">
        <f>_xlfn.XLOOKUP(C3353,Product!A:A,Product!B:B,"not found",0)</f>
        <v>Trek X-Caliber 8 - 2017</v>
      </c>
      <c r="I3353" s="1">
        <f t="shared" si="105"/>
        <v>1999.88</v>
      </c>
    </row>
    <row r="3354" spans="1:9" x14ac:dyDescent="0.2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 s="1">
        <f t="shared" si="104"/>
        <v>189.79000000000002</v>
      </c>
      <c r="H3354" s="1" t="str">
        <f>_xlfn.XLOOKUP(C3354,Product!A:A,Product!B:B,"not found",0)</f>
        <v>Trek Precaliber 12 Girls - 2017</v>
      </c>
      <c r="I3354" s="1">
        <f t="shared" si="105"/>
        <v>189.79000000000002</v>
      </c>
    </row>
    <row r="3355" spans="1:9" x14ac:dyDescent="0.2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 s="1">
        <f t="shared" si="104"/>
        <v>9999.7799999999988</v>
      </c>
      <c r="H3355" s="1" t="str">
        <f>_xlfn.XLOOKUP(C3355,Product!A:A,Product!B:B,"not found",0)</f>
        <v>Trek Fuel EX 9.8 29 - 2017</v>
      </c>
      <c r="I3355" s="1">
        <f t="shared" si="105"/>
        <v>9999.7799999999988</v>
      </c>
    </row>
    <row r="3356" spans="1:9" x14ac:dyDescent="0.2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 s="1">
        <f t="shared" si="104"/>
        <v>149.89000000000001</v>
      </c>
      <c r="H3356" s="1" t="str">
        <f>_xlfn.XLOOKUP(C3356,Product!A:A,Product!B:B,"not found",0)</f>
        <v>Trek Girl's Kickster - 2017</v>
      </c>
      <c r="I3356" s="1">
        <f t="shared" si="105"/>
        <v>149.89000000000001</v>
      </c>
    </row>
    <row r="3357" spans="1:9" x14ac:dyDescent="0.2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 s="1">
        <f t="shared" si="104"/>
        <v>1469.94</v>
      </c>
      <c r="H3357" s="1" t="str">
        <f>_xlfn.XLOOKUP(C3357,Product!A:A,Product!B:B,"not found",0)</f>
        <v>Haro Shift R3 - 2017</v>
      </c>
      <c r="I3357" s="1">
        <f t="shared" si="105"/>
        <v>1469.94</v>
      </c>
    </row>
    <row r="3358" spans="1:9" x14ac:dyDescent="0.2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 s="1">
        <f t="shared" si="104"/>
        <v>1099.93</v>
      </c>
      <c r="H3358" s="1" t="str">
        <f>_xlfn.XLOOKUP(C3358,Product!A:A,Product!B:B,"not found",0)</f>
        <v>Electra Townie Original 21D - 2016</v>
      </c>
      <c r="I3358" s="1">
        <f t="shared" si="105"/>
        <v>1099.93</v>
      </c>
    </row>
    <row r="3359" spans="1:9" x14ac:dyDescent="0.2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 s="1">
        <f t="shared" si="104"/>
        <v>6999.9299999999994</v>
      </c>
      <c r="H3359" s="1" t="str">
        <f>_xlfn.XLOOKUP(C3359,Product!A:A,Product!B:B,"not found",0)</f>
        <v>Trek Boone Race Shop Limited - 2017</v>
      </c>
      <c r="I3359" s="1">
        <f t="shared" si="105"/>
        <v>6999.9299999999994</v>
      </c>
    </row>
    <row r="3360" spans="1:9" x14ac:dyDescent="0.2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 s="1">
        <f t="shared" si="104"/>
        <v>1499.88</v>
      </c>
      <c r="H3360" s="1" t="str">
        <f>_xlfn.XLOOKUP(C3360,Product!A:A,Product!B:B,"not found",0)</f>
        <v>Surly Ogre Frameset - 2017</v>
      </c>
      <c r="I3360" s="1">
        <f t="shared" si="105"/>
        <v>1499.88</v>
      </c>
    </row>
    <row r="3361" spans="1:9" x14ac:dyDescent="0.2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 s="1">
        <f t="shared" si="104"/>
        <v>1799.79</v>
      </c>
      <c r="H3361" s="1" t="str">
        <f>_xlfn.XLOOKUP(C3361,Product!A:A,Product!B:B,"not found",0)</f>
        <v>Trek Remedy 29 Carbon Frameset - 2016</v>
      </c>
      <c r="I3361" s="1">
        <f t="shared" si="105"/>
        <v>1799.79</v>
      </c>
    </row>
    <row r="3362" spans="1:9" x14ac:dyDescent="0.2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 s="1">
        <f t="shared" si="104"/>
        <v>647.94000000000005</v>
      </c>
      <c r="H3362" s="1" t="str">
        <f>_xlfn.XLOOKUP(C3362,Product!A:A,Product!B:B,"not found",0)</f>
        <v>Sun Bicycles Biscayne Tandem CB - 2017</v>
      </c>
      <c r="I3362" s="1">
        <f t="shared" si="105"/>
        <v>647.94000000000005</v>
      </c>
    </row>
    <row r="3363" spans="1:9" x14ac:dyDescent="0.2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 s="1">
        <f t="shared" si="104"/>
        <v>1103.93</v>
      </c>
      <c r="H3363" s="1" t="str">
        <f>_xlfn.XLOOKUP(C3363,Product!A:A,Product!B:B,"not found",0)</f>
        <v>Sun Bicycles Streamway 3 - 2017</v>
      </c>
      <c r="I3363" s="1">
        <f t="shared" si="105"/>
        <v>1103.93</v>
      </c>
    </row>
    <row r="3364" spans="1:9" x14ac:dyDescent="0.2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 s="1">
        <f t="shared" si="104"/>
        <v>1079.93</v>
      </c>
      <c r="H3364" s="1" t="str">
        <f>_xlfn.XLOOKUP(C3364,Product!A:A,Product!B:B,"not found",0)</f>
        <v>Haro SR 1.1 - 2017</v>
      </c>
      <c r="I3364" s="1">
        <f t="shared" si="105"/>
        <v>1079.93</v>
      </c>
    </row>
    <row r="3365" spans="1:9" x14ac:dyDescent="0.2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 s="1">
        <f t="shared" si="104"/>
        <v>693.91</v>
      </c>
      <c r="H3365" s="1" t="str">
        <f>_xlfn.XLOOKUP(C3365,Product!A:A,Product!B:B,"not found",0)</f>
        <v>Sun Bicycles Lil Bolt Type-R - 2017</v>
      </c>
      <c r="I3365" s="1">
        <f t="shared" si="105"/>
        <v>693.91</v>
      </c>
    </row>
    <row r="3366" spans="1:9" x14ac:dyDescent="0.2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 s="1">
        <f t="shared" si="104"/>
        <v>449.92</v>
      </c>
      <c r="H3366" s="1" t="str">
        <f>_xlfn.XLOOKUP(C3366,Product!A:A,Product!B:B,"not found",0)</f>
        <v>Sun Bicycles Cruz 3 - 2017</v>
      </c>
      <c r="I3366" s="1">
        <f t="shared" si="105"/>
        <v>449.92</v>
      </c>
    </row>
    <row r="3367" spans="1:9" x14ac:dyDescent="0.2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 s="1">
        <f t="shared" si="104"/>
        <v>1103.9100000000001</v>
      </c>
      <c r="H3367" s="1" t="str">
        <f>_xlfn.XLOOKUP(C3367,Product!A:A,Product!B:B,"not found",0)</f>
        <v>Sun Bicycles Streamway 3 - 2017</v>
      </c>
      <c r="I3367" s="1">
        <f t="shared" si="105"/>
        <v>1103.9100000000001</v>
      </c>
    </row>
    <row r="3368" spans="1:9" x14ac:dyDescent="0.2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 s="1">
        <f t="shared" si="104"/>
        <v>1999.93</v>
      </c>
      <c r="H3368" s="1" t="str">
        <f>_xlfn.XLOOKUP(C3368,Product!A:A,Product!B:B,"not found",0)</f>
        <v>Trek X-Caliber 8 - 2017</v>
      </c>
      <c r="I3368" s="1">
        <f t="shared" si="105"/>
        <v>1999.93</v>
      </c>
    </row>
    <row r="3369" spans="1:9" x14ac:dyDescent="0.2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 s="1">
        <f t="shared" si="104"/>
        <v>2199.88</v>
      </c>
      <c r="H3369" s="1" t="str">
        <f>_xlfn.XLOOKUP(C3369,Product!A:A,Product!B:B,"not found",0)</f>
        <v>Electra Amsterdam Fashion 7i Ladies' - 2017</v>
      </c>
      <c r="I3369" s="1">
        <f t="shared" si="105"/>
        <v>2199.88</v>
      </c>
    </row>
    <row r="3370" spans="1:9" x14ac:dyDescent="0.2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 s="1">
        <f t="shared" si="104"/>
        <v>449.92</v>
      </c>
      <c r="H3370" s="1" t="str">
        <f>_xlfn.XLOOKUP(C3370,Product!A:A,Product!B:B,"not found",0)</f>
        <v>Sun Bicycles Cruz 3 - 2017</v>
      </c>
      <c r="I3370" s="1">
        <f t="shared" si="105"/>
        <v>449.92</v>
      </c>
    </row>
    <row r="3371" spans="1:9" x14ac:dyDescent="0.2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 s="1">
        <f t="shared" si="104"/>
        <v>599.88</v>
      </c>
      <c r="H3371" s="1" t="str">
        <f>_xlfn.XLOOKUP(C3371,Product!A:A,Product!B:B,"not found",0)</f>
        <v>Electra Girl's Hawaii 1 (20-inch) - 2015/2016</v>
      </c>
      <c r="I3371" s="1">
        <f t="shared" si="105"/>
        <v>599.88</v>
      </c>
    </row>
    <row r="3372" spans="1:9" x14ac:dyDescent="0.2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 s="1">
        <f t="shared" si="104"/>
        <v>659.79</v>
      </c>
      <c r="H3372" s="1" t="str">
        <f>_xlfn.XLOOKUP(C3372,Product!A:A,Product!B:B,"not found",0)</f>
        <v>Electra Amsterdam Original 3i Ladies' - 2017</v>
      </c>
      <c r="I3372" s="1">
        <f t="shared" si="105"/>
        <v>659.79</v>
      </c>
    </row>
    <row r="3373" spans="1:9" x14ac:dyDescent="0.2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 s="1">
        <f t="shared" si="104"/>
        <v>6499.92</v>
      </c>
      <c r="H3373" s="1" t="str">
        <f>_xlfn.XLOOKUP(C3373,Product!A:A,Product!B:B,"not found",0)</f>
        <v>Trek Silque SLR 8 Women's - 2017</v>
      </c>
      <c r="I3373" s="1">
        <f t="shared" si="105"/>
        <v>6499.92</v>
      </c>
    </row>
    <row r="3374" spans="1:9" x14ac:dyDescent="0.2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 s="1">
        <f t="shared" si="104"/>
        <v>833.78</v>
      </c>
      <c r="H3374" s="1" t="str">
        <f>_xlfn.XLOOKUP(C3374,Product!A:A,Product!B:B,"not found",0)</f>
        <v>Sun Bicycles Cruz 7 - 2017</v>
      </c>
      <c r="I3374" s="1">
        <f t="shared" si="105"/>
        <v>833.78</v>
      </c>
    </row>
    <row r="3375" spans="1:9" x14ac:dyDescent="0.2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 s="1">
        <f t="shared" si="104"/>
        <v>1059.93</v>
      </c>
      <c r="H3375" s="1" t="str">
        <f>_xlfn.XLOOKUP(C3375,Product!A:A,Product!B:B,"not found",0)</f>
        <v>Electra Moto 1 - 2016</v>
      </c>
      <c r="I3375" s="1">
        <f t="shared" si="105"/>
        <v>1059.93</v>
      </c>
    </row>
    <row r="3376" spans="1:9" x14ac:dyDescent="0.2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 s="1">
        <f t="shared" si="104"/>
        <v>699.78</v>
      </c>
      <c r="H3376" s="1" t="str">
        <f>_xlfn.XLOOKUP(C3376,Product!A:A,Product!B:B,"not found",0)</f>
        <v>Trek Precaliber 24 (21-Speed) - Girls - 2017</v>
      </c>
      <c r="I3376" s="1">
        <f t="shared" si="105"/>
        <v>699.78</v>
      </c>
    </row>
    <row r="3377" spans="1:9" x14ac:dyDescent="0.2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 s="1">
        <f t="shared" si="104"/>
        <v>6499.94</v>
      </c>
      <c r="H3377" s="1" t="str">
        <f>_xlfn.XLOOKUP(C3377,Product!A:A,Product!B:B,"not found",0)</f>
        <v>Trek Silque SLR 8 Women's - 2017</v>
      </c>
      <c r="I3377" s="1">
        <f t="shared" si="105"/>
        <v>6499.94</v>
      </c>
    </row>
    <row r="3378" spans="1:9" x14ac:dyDescent="0.2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 s="1">
        <f t="shared" si="104"/>
        <v>9999.8799999999992</v>
      </c>
      <c r="H3378" s="1" t="str">
        <f>_xlfn.XLOOKUP(C3378,Product!A:A,Product!B:B,"not found",0)</f>
        <v>Trek Madone 9.2 - 2017</v>
      </c>
      <c r="I3378" s="1">
        <f t="shared" si="105"/>
        <v>9999.8799999999992</v>
      </c>
    </row>
    <row r="3379" spans="1:9" x14ac:dyDescent="0.2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 s="1">
        <f t="shared" si="104"/>
        <v>2199.7800000000002</v>
      </c>
      <c r="H3379" s="1" t="str">
        <f>_xlfn.XLOOKUP(C3379,Product!A:A,Product!B:B,"not found",0)</f>
        <v>Electra Amsterdam Fashion 7i Ladies' - 2017</v>
      </c>
      <c r="I3379" s="1">
        <f t="shared" si="105"/>
        <v>2199.7800000000002</v>
      </c>
    </row>
    <row r="3380" spans="1:9" x14ac:dyDescent="0.2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 s="1">
        <f t="shared" si="104"/>
        <v>529.89</v>
      </c>
      <c r="H3380" s="1" t="str">
        <f>_xlfn.XLOOKUP(C3380,Product!A:A,Product!B:B,"not found",0)</f>
        <v>Electra Moto 1 - 2016</v>
      </c>
      <c r="I3380" s="1">
        <f t="shared" si="105"/>
        <v>529.89</v>
      </c>
    </row>
    <row r="3381" spans="1:9" x14ac:dyDescent="0.2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 s="1">
        <f t="shared" si="104"/>
        <v>10599.93</v>
      </c>
      <c r="H3381" s="1" t="str">
        <f>_xlfn.XLOOKUP(C3381,Product!A:A,Product!B:B,"not found",0)</f>
        <v>Trek Remedy 9.8 - 2017</v>
      </c>
      <c r="I3381" s="1">
        <f t="shared" si="105"/>
        <v>10599.93</v>
      </c>
    </row>
    <row r="3382" spans="1:9" x14ac:dyDescent="0.2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 s="1">
        <f t="shared" si="104"/>
        <v>6999.8799999999992</v>
      </c>
      <c r="H3382" s="1" t="str">
        <f>_xlfn.XLOOKUP(C3382,Product!A:A,Product!B:B,"not found",0)</f>
        <v>Trek Boone 7 - 2017</v>
      </c>
      <c r="I3382" s="1">
        <f t="shared" si="105"/>
        <v>6999.8799999999992</v>
      </c>
    </row>
    <row r="3383" spans="1:9" x14ac:dyDescent="0.2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 s="1">
        <f t="shared" si="104"/>
        <v>499.78000000000003</v>
      </c>
      <c r="H3383" s="1" t="str">
        <f>_xlfn.XLOOKUP(C3383,Product!A:A,Product!B:B,"not found",0)</f>
        <v>Haro Shredder Pro 20 - 2017</v>
      </c>
      <c r="I3383" s="1">
        <f t="shared" si="105"/>
        <v>499.78000000000003</v>
      </c>
    </row>
    <row r="3384" spans="1:9" x14ac:dyDescent="0.2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 s="1">
        <f t="shared" si="104"/>
        <v>419.91</v>
      </c>
      <c r="H3384" s="1" t="str">
        <f>_xlfn.XLOOKUP(C3384,Product!A:A,Product!B:B,"not found",0)</f>
        <v>Haro Shredder 20 - 2017</v>
      </c>
      <c r="I3384" s="1">
        <f t="shared" si="105"/>
        <v>419.91</v>
      </c>
    </row>
    <row r="3385" spans="1:9" x14ac:dyDescent="0.2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 s="1">
        <f t="shared" si="104"/>
        <v>3097.93</v>
      </c>
      <c r="H3385" s="1" t="str">
        <f>_xlfn.XLOOKUP(C3385,Product!A:A,Product!B:B,"not found",0)</f>
        <v>Surly Straggler - 2016</v>
      </c>
      <c r="I3385" s="1">
        <f t="shared" si="105"/>
        <v>3097.93</v>
      </c>
    </row>
    <row r="3386" spans="1:9" x14ac:dyDescent="0.2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 s="1">
        <f t="shared" si="104"/>
        <v>1295.9100000000001</v>
      </c>
      <c r="H3386" s="1" t="str">
        <f>_xlfn.XLOOKUP(C3386,Product!A:A,Product!B:B,"not found",0)</f>
        <v>Sun Bicycles Biscayne Tandem CB - 2017</v>
      </c>
      <c r="I3386" s="1">
        <f t="shared" si="105"/>
        <v>1295.9100000000001</v>
      </c>
    </row>
    <row r="3387" spans="1:9" x14ac:dyDescent="0.2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 s="1">
        <f t="shared" si="104"/>
        <v>481.79</v>
      </c>
      <c r="H3387" s="1" t="str">
        <f>_xlfn.XLOOKUP(C3387,Product!A:A,Product!B:B,"not found",0)</f>
        <v>Sun Bicycles Streamway - 2017</v>
      </c>
      <c r="I3387" s="1">
        <f t="shared" si="105"/>
        <v>481.79</v>
      </c>
    </row>
    <row r="3388" spans="1:9" x14ac:dyDescent="0.2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 s="1">
        <f t="shared" si="104"/>
        <v>299.79000000000002</v>
      </c>
      <c r="H3388" s="1" t="str">
        <f>_xlfn.XLOOKUP(C3388,Product!A:A,Product!B:B,"not found",0)</f>
        <v>Electra Girl's Hawaii 1 16" - 2017</v>
      </c>
      <c r="I3388" s="1">
        <f t="shared" si="105"/>
        <v>299.79000000000002</v>
      </c>
    </row>
    <row r="3389" spans="1:9" x14ac:dyDescent="0.2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 s="1">
        <f t="shared" si="104"/>
        <v>428.93</v>
      </c>
      <c r="H3389" s="1" t="str">
        <f>_xlfn.XLOOKUP(C3389,Product!A:A,Product!B:B,"not found",0)</f>
        <v>Pure Cycles Vine 8-Speed - 2016</v>
      </c>
      <c r="I3389" s="1">
        <f t="shared" si="105"/>
        <v>428.93</v>
      </c>
    </row>
    <row r="3390" spans="1:9" x14ac:dyDescent="0.2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 s="1">
        <f t="shared" si="104"/>
        <v>449.94</v>
      </c>
      <c r="H3390" s="1" t="str">
        <f>_xlfn.XLOOKUP(C3390,Product!A:A,Product!B:B,"not found",0)</f>
        <v>Sun Bicycles Cruz 3 - 2017</v>
      </c>
      <c r="I3390" s="1">
        <f t="shared" si="105"/>
        <v>449.94</v>
      </c>
    </row>
    <row r="3391" spans="1:9" x14ac:dyDescent="0.2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 s="1">
        <f t="shared" si="104"/>
        <v>1103.78</v>
      </c>
      <c r="H3391" s="1" t="str">
        <f>_xlfn.XLOOKUP(C3391,Product!A:A,Product!B:B,"not found",0)</f>
        <v>Sun Bicycles Streamway 3 - 2017</v>
      </c>
      <c r="I3391" s="1">
        <f t="shared" si="105"/>
        <v>1103.78</v>
      </c>
    </row>
    <row r="3392" spans="1:9" x14ac:dyDescent="0.2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 s="1">
        <f t="shared" si="104"/>
        <v>941.78</v>
      </c>
      <c r="H3392" s="1" t="str">
        <f>_xlfn.XLOOKUP(C3392,Product!A:A,Product!B:B,"not found",0)</f>
        <v>Sun Bicycles Drifter 7 - 2017</v>
      </c>
      <c r="I3392" s="1">
        <f t="shared" si="105"/>
        <v>941.78</v>
      </c>
    </row>
    <row r="3393" spans="1:9" x14ac:dyDescent="0.2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 s="1">
        <f t="shared" si="104"/>
        <v>469.92</v>
      </c>
      <c r="H3393" s="1" t="str">
        <f>_xlfn.XLOOKUP(C3393,Product!A:A,Product!B:B,"not found",0)</f>
        <v>Surly Ice Cream Truck Frameset - 2016</v>
      </c>
      <c r="I3393" s="1">
        <f t="shared" si="105"/>
        <v>469.92</v>
      </c>
    </row>
    <row r="3394" spans="1:9" x14ac:dyDescent="0.2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 s="1">
        <f t="shared" si="104"/>
        <v>449.89</v>
      </c>
      <c r="H3394" s="1" t="str">
        <f>_xlfn.XLOOKUP(C3394,Product!A:A,Product!B:B,"not found",0)</f>
        <v>Sun Bicycles Cruz 3 - 2017</v>
      </c>
      <c r="I3394" s="1">
        <f t="shared" si="105"/>
        <v>449.89</v>
      </c>
    </row>
    <row r="3395" spans="1:9" x14ac:dyDescent="0.2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 s="1">
        <f t="shared" ref="G3395:G3458" si="106">(E3395*D3395)-F3395</f>
        <v>9999.91</v>
      </c>
      <c r="H3395" s="1" t="str">
        <f>_xlfn.XLOOKUP(C3395,Product!A:A,Product!B:B,"not found",0)</f>
        <v>Trek Madone 9.2 - 2017</v>
      </c>
      <c r="I3395" s="1">
        <f t="shared" ref="I3395:I3458" si="107">(D3395*E3395)-F3395</f>
        <v>9999.91</v>
      </c>
    </row>
    <row r="3396" spans="1:9" x14ac:dyDescent="0.2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 s="1">
        <f t="shared" si="106"/>
        <v>346.79</v>
      </c>
      <c r="H3396" s="1" t="str">
        <f>_xlfn.XLOOKUP(C3396,Product!A:A,Product!B:B,"not found",0)</f>
        <v>Sun Bicycles Lil Bolt Type-R - 2017</v>
      </c>
      <c r="I3396" s="1">
        <f t="shared" si="107"/>
        <v>346.79</v>
      </c>
    </row>
    <row r="3397" spans="1:9" x14ac:dyDescent="0.2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 s="1">
        <f t="shared" si="106"/>
        <v>599.94000000000005</v>
      </c>
      <c r="H3397" s="1" t="str">
        <f>_xlfn.XLOOKUP(C3397,Product!A:A,Product!B:B,"not found",0)</f>
        <v>Electra Townie Original 7D EQ - Women's - 2016</v>
      </c>
      <c r="I3397" s="1">
        <f t="shared" si="107"/>
        <v>599.94000000000005</v>
      </c>
    </row>
    <row r="3398" spans="1:9" x14ac:dyDescent="0.2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 s="1">
        <f t="shared" si="106"/>
        <v>999.94</v>
      </c>
      <c r="H3398" s="1" t="str">
        <f>_xlfn.XLOOKUP(C3398,Product!A:A,Product!B:B,"not found",0)</f>
        <v>Surly Wednesday Frameset - 2016</v>
      </c>
      <c r="I3398" s="1">
        <f t="shared" si="107"/>
        <v>999.94</v>
      </c>
    </row>
    <row r="3399" spans="1:9" x14ac:dyDescent="0.2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 s="1">
        <f t="shared" si="106"/>
        <v>2999.9399999999996</v>
      </c>
      <c r="H3399" s="1" t="str">
        <f>_xlfn.XLOOKUP(C3399,Product!A:A,Product!B:B,"not found",0)</f>
        <v>Trek Conduit+ - 2016</v>
      </c>
      <c r="I3399" s="1">
        <f t="shared" si="107"/>
        <v>2999.9399999999996</v>
      </c>
    </row>
    <row r="3400" spans="1:9" x14ac:dyDescent="0.2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 s="1">
        <f t="shared" si="106"/>
        <v>189.89000000000001</v>
      </c>
      <c r="H3400" s="1" t="str">
        <f>_xlfn.XLOOKUP(C3400,Product!A:A,Product!B:B,"not found",0)</f>
        <v>Trek Precaliber 12 Boys - 2017</v>
      </c>
      <c r="I3400" s="1">
        <f t="shared" si="107"/>
        <v>189.89000000000001</v>
      </c>
    </row>
    <row r="3401" spans="1:9" x14ac:dyDescent="0.2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 s="1">
        <f t="shared" si="106"/>
        <v>6999.91</v>
      </c>
      <c r="H3401" s="1" t="str">
        <f>_xlfn.XLOOKUP(C3401,Product!A:A,Product!B:B,"not found",0)</f>
        <v>Trek Boone 7 - 2017</v>
      </c>
      <c r="I3401" s="1">
        <f t="shared" si="107"/>
        <v>6999.91</v>
      </c>
    </row>
    <row r="3402" spans="1:9" x14ac:dyDescent="0.2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 s="1">
        <f t="shared" si="106"/>
        <v>439.89</v>
      </c>
      <c r="H3402" s="1" t="str">
        <f>_xlfn.XLOOKUP(C3402,Product!A:A,Product!B:B,"not found",0)</f>
        <v>Electra Cruiser Lux 1 - 2017</v>
      </c>
      <c r="I3402" s="1">
        <f t="shared" si="107"/>
        <v>439.89</v>
      </c>
    </row>
    <row r="3403" spans="1:9" x14ac:dyDescent="0.2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 s="1">
        <f t="shared" si="106"/>
        <v>1409.92</v>
      </c>
      <c r="H3403" s="1" t="str">
        <f>_xlfn.XLOOKUP(C3403,Product!A:A,Product!B:B,"not found",0)</f>
        <v>Haro SR 1.3 - 2017</v>
      </c>
      <c r="I3403" s="1">
        <f t="shared" si="107"/>
        <v>1409.92</v>
      </c>
    </row>
    <row r="3404" spans="1:9" x14ac:dyDescent="0.2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 s="1">
        <f t="shared" si="106"/>
        <v>799.79</v>
      </c>
      <c r="H3404" s="1" t="str">
        <f>_xlfn.XLOOKUP(C3404,Product!A:A,Product!B:B,"not found",0)</f>
        <v>Electra Glam Punk 3i Ladies' - 2017</v>
      </c>
      <c r="I3404" s="1">
        <f t="shared" si="107"/>
        <v>799.79</v>
      </c>
    </row>
    <row r="3405" spans="1:9" x14ac:dyDescent="0.2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 s="1">
        <f t="shared" si="106"/>
        <v>449.94</v>
      </c>
      <c r="H3405" s="1" t="str">
        <f>_xlfn.XLOOKUP(C3405,Product!A:A,Product!B:B,"not found",0)</f>
        <v>Sun Bicycles Cruz 3 - Women's - 2017</v>
      </c>
      <c r="I3405" s="1">
        <f t="shared" si="107"/>
        <v>449.94</v>
      </c>
    </row>
    <row r="3406" spans="1:9" x14ac:dyDescent="0.2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 s="1">
        <f t="shared" si="106"/>
        <v>539.93000000000006</v>
      </c>
      <c r="H3406" s="1" t="str">
        <f>_xlfn.XLOOKUP(C3406,Product!A:A,Product!B:B,"not found",0)</f>
        <v>Electra Cruiser 1 (24-Inch) - 2016</v>
      </c>
      <c r="I3406" s="1">
        <f t="shared" si="107"/>
        <v>539.93000000000006</v>
      </c>
    </row>
    <row r="3407" spans="1:9" x14ac:dyDescent="0.2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 s="1">
        <f t="shared" si="106"/>
        <v>419.93</v>
      </c>
      <c r="H3407" s="1" t="str">
        <f>_xlfn.XLOOKUP(C3407,Product!A:A,Product!B:B,"not found",0)</f>
        <v>Haro Shredder 20 Girls - 2017</v>
      </c>
      <c r="I3407" s="1">
        <f t="shared" si="107"/>
        <v>419.93</v>
      </c>
    </row>
    <row r="3408" spans="1:9" x14ac:dyDescent="0.2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 s="1">
        <f t="shared" si="106"/>
        <v>379.93</v>
      </c>
      <c r="H3408" s="1" t="str">
        <f>_xlfn.XLOOKUP(C3408,Product!A:A,Product!B:B,"not found",0)</f>
        <v>Trek Precaliber 12 Girls - 2017</v>
      </c>
      <c r="I3408" s="1">
        <f t="shared" si="107"/>
        <v>379.93</v>
      </c>
    </row>
    <row r="3409" spans="1:9" x14ac:dyDescent="0.2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 s="1">
        <f t="shared" si="106"/>
        <v>939.78</v>
      </c>
      <c r="H3409" s="1" t="str">
        <f>_xlfn.XLOOKUP(C3409,Product!A:A,Product!B:B,"not found",0)</f>
        <v>Surly Wednesday Frameset - 2017</v>
      </c>
      <c r="I3409" s="1">
        <f t="shared" si="107"/>
        <v>939.78</v>
      </c>
    </row>
    <row r="3410" spans="1:9" x14ac:dyDescent="0.2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 s="1">
        <f t="shared" si="106"/>
        <v>5999.92</v>
      </c>
      <c r="H3410" s="1" t="str">
        <f>_xlfn.XLOOKUP(C3410,Product!A:A,Product!B:B,"not found",0)</f>
        <v>Trek Silque SLR 7 Women's - 2017</v>
      </c>
      <c r="I3410" s="1">
        <f t="shared" si="107"/>
        <v>5999.92</v>
      </c>
    </row>
    <row r="3411" spans="1:9" x14ac:dyDescent="0.2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 s="1">
        <f t="shared" si="106"/>
        <v>501.91</v>
      </c>
      <c r="H3411" s="1" t="str">
        <f>_xlfn.XLOOKUP(C3411,Product!A:A,Product!B:B,"not found",0)</f>
        <v>Sun Bicycles Revolutions 24 - 2017</v>
      </c>
      <c r="I3411" s="1">
        <f t="shared" si="107"/>
        <v>501.91</v>
      </c>
    </row>
    <row r="3412" spans="1:9" x14ac:dyDescent="0.2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 s="1">
        <f t="shared" si="106"/>
        <v>489.89</v>
      </c>
      <c r="H3412" s="1" t="str">
        <f>_xlfn.XLOOKUP(C3412,Product!A:A,Product!B:B,"not found",0)</f>
        <v>Electra Straight 8 3i (20-inch) - Boy's - 2017</v>
      </c>
      <c r="I3412" s="1">
        <f t="shared" si="107"/>
        <v>489.89</v>
      </c>
    </row>
    <row r="3413" spans="1:9" x14ac:dyDescent="0.2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 s="1">
        <f t="shared" si="106"/>
        <v>832.89</v>
      </c>
      <c r="H3413" s="1" t="str">
        <f>_xlfn.XLOOKUP(C3413,Product!A:A,Product!B:B,"not found",0)</f>
        <v>Sun Bicycles Spider 3i - 2017</v>
      </c>
      <c r="I3413" s="1">
        <f t="shared" si="107"/>
        <v>832.89</v>
      </c>
    </row>
    <row r="3414" spans="1:9" x14ac:dyDescent="0.2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 s="1">
        <f t="shared" si="106"/>
        <v>6999.8799999999992</v>
      </c>
      <c r="H3414" s="1" t="str">
        <f>_xlfn.XLOOKUP(C3414,Product!A:A,Product!B:B,"not found",0)</f>
        <v>Trek Domane SL 6 - 2017</v>
      </c>
      <c r="I3414" s="1">
        <f t="shared" si="107"/>
        <v>6999.8799999999992</v>
      </c>
    </row>
    <row r="3415" spans="1:9" x14ac:dyDescent="0.2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 s="1">
        <f t="shared" si="106"/>
        <v>3499.79</v>
      </c>
      <c r="H3415" s="1" t="str">
        <f>_xlfn.XLOOKUP(C3415,Product!A:A,Product!B:B,"not found",0)</f>
        <v>Trek Boone Race Shop Limited - 2017</v>
      </c>
      <c r="I3415" s="1">
        <f t="shared" si="107"/>
        <v>3499.79</v>
      </c>
    </row>
    <row r="3416" spans="1:9" x14ac:dyDescent="0.2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 s="1">
        <f t="shared" si="106"/>
        <v>1523.78</v>
      </c>
      <c r="H3416" s="1" t="str">
        <f>_xlfn.XLOOKUP(C3416,Product!A:A,Product!B:B,"not found",0)</f>
        <v>Sun Bicycles Brickell Tandem CB - 2017</v>
      </c>
      <c r="I3416" s="1">
        <f t="shared" si="107"/>
        <v>1523.78</v>
      </c>
    </row>
    <row r="3417" spans="1:9" x14ac:dyDescent="0.2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 s="1">
        <f t="shared" si="106"/>
        <v>939.93000000000006</v>
      </c>
      <c r="H3417" s="1" t="str">
        <f>_xlfn.XLOOKUP(C3417,Product!A:A,Product!B:B,"not found",0)</f>
        <v>Surly Ice Cream Truck Frameset - 2016</v>
      </c>
      <c r="I3417" s="1">
        <f t="shared" si="107"/>
        <v>939.93000000000006</v>
      </c>
    </row>
    <row r="3418" spans="1:9" x14ac:dyDescent="0.2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 s="1">
        <f t="shared" si="106"/>
        <v>1199.93</v>
      </c>
      <c r="H3418" s="1" t="str">
        <f>_xlfn.XLOOKUP(C3418,Product!A:A,Product!B:B,"not found",0)</f>
        <v>Electra Townie Original 7D EQ - 2016</v>
      </c>
      <c r="I3418" s="1">
        <f t="shared" si="107"/>
        <v>1199.93</v>
      </c>
    </row>
    <row r="3419" spans="1:9" x14ac:dyDescent="0.2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 s="1">
        <f t="shared" si="106"/>
        <v>416.94</v>
      </c>
      <c r="H3419" s="1" t="str">
        <f>_xlfn.XLOOKUP(C3419,Product!A:A,Product!B:B,"not found",0)</f>
        <v>Sun Bicycles Atlas X-Type - 2017</v>
      </c>
      <c r="I3419" s="1">
        <f t="shared" si="107"/>
        <v>416.94</v>
      </c>
    </row>
    <row r="3420" spans="1:9" x14ac:dyDescent="0.2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 s="1">
        <f t="shared" si="106"/>
        <v>897.93</v>
      </c>
      <c r="H3420" s="1" t="str">
        <f>_xlfn.XLOOKUP(C3420,Product!A:A,Product!B:B,"not found",0)</f>
        <v>Pure Cycles William 3-Speed - 2016</v>
      </c>
      <c r="I3420" s="1">
        <f t="shared" si="107"/>
        <v>897.93</v>
      </c>
    </row>
    <row r="3421" spans="1:9" x14ac:dyDescent="0.2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 s="1">
        <f t="shared" si="106"/>
        <v>269.92</v>
      </c>
      <c r="H3421" s="1" t="str">
        <f>_xlfn.XLOOKUP(C3421,Product!A:A,Product!B:B,"not found",0)</f>
        <v>Electra Cruiser 1 (24-Inch) - 2016</v>
      </c>
      <c r="I3421" s="1">
        <f t="shared" si="107"/>
        <v>269.92</v>
      </c>
    </row>
    <row r="3422" spans="1:9" x14ac:dyDescent="0.2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 s="1">
        <f t="shared" si="106"/>
        <v>6999.8799999999992</v>
      </c>
      <c r="H3422" s="1" t="str">
        <f>_xlfn.XLOOKUP(C3422,Product!A:A,Product!B:B,"not found",0)</f>
        <v>Trek Boone Race Shop Limited - 2017</v>
      </c>
      <c r="I3422" s="1">
        <f t="shared" si="107"/>
        <v>6999.8799999999992</v>
      </c>
    </row>
    <row r="3423" spans="1:9" x14ac:dyDescent="0.2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 s="1">
        <f t="shared" si="106"/>
        <v>761.79</v>
      </c>
      <c r="H3423" s="1" t="str">
        <f>_xlfn.XLOOKUP(C3423,Product!A:A,Product!B:B,"not found",0)</f>
        <v>Sun Bicycles Brickell Tandem CB - 2017</v>
      </c>
      <c r="I3423" s="1">
        <f t="shared" si="107"/>
        <v>761.79</v>
      </c>
    </row>
    <row r="3424" spans="1:9" x14ac:dyDescent="0.2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 s="1">
        <f t="shared" si="106"/>
        <v>2999.88</v>
      </c>
      <c r="H3424" s="1" t="str">
        <f>_xlfn.XLOOKUP(C3424,Product!A:A,Product!B:B,"not found",0)</f>
        <v>Trek Emonda S 4 - 2017</v>
      </c>
      <c r="I3424" s="1">
        <f t="shared" si="107"/>
        <v>2999.88</v>
      </c>
    </row>
    <row r="3425" spans="1:9" x14ac:dyDescent="0.2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 s="1">
        <f t="shared" si="106"/>
        <v>3499.9199999999996</v>
      </c>
      <c r="H3425" s="1" t="str">
        <f>_xlfn.XLOOKUP(C3425,Product!A:A,Product!B:B,"not found",0)</f>
        <v>Trek Domane SL 6 - 2017</v>
      </c>
      <c r="I3425" s="1">
        <f t="shared" si="107"/>
        <v>3499.9199999999996</v>
      </c>
    </row>
    <row r="3426" spans="1:9" x14ac:dyDescent="0.2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 s="1">
        <f t="shared" si="106"/>
        <v>449.89</v>
      </c>
      <c r="H3426" s="1" t="str">
        <f>_xlfn.XLOOKUP(C3426,Product!A:A,Product!B:B,"not found",0)</f>
        <v>Sun Bicycles Cruz 3 - 2017</v>
      </c>
      <c r="I3426" s="1">
        <f t="shared" si="107"/>
        <v>449.89</v>
      </c>
    </row>
    <row r="3427" spans="1:9" x14ac:dyDescent="0.2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 s="1">
        <f t="shared" si="106"/>
        <v>999.79</v>
      </c>
      <c r="H3427" s="1" t="str">
        <f>_xlfn.XLOOKUP(C3427,Product!A:A,Product!B:B,"not found",0)</f>
        <v>Surly Big Dummy Frameset - 2017</v>
      </c>
      <c r="I3427" s="1">
        <f t="shared" si="107"/>
        <v>999.79</v>
      </c>
    </row>
    <row r="3428" spans="1:9" x14ac:dyDescent="0.2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 s="1">
        <f t="shared" si="106"/>
        <v>1665.88</v>
      </c>
      <c r="H3428" s="1" t="str">
        <f>_xlfn.XLOOKUP(C3428,Product!A:A,Product!B:B,"not found",0)</f>
        <v>Surly Troll Frameset - 2017</v>
      </c>
      <c r="I3428" s="1">
        <f t="shared" si="107"/>
        <v>1665.88</v>
      </c>
    </row>
    <row r="3429" spans="1:9" x14ac:dyDescent="0.2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 s="1">
        <f t="shared" si="106"/>
        <v>402.92</v>
      </c>
      <c r="H3429" s="1" t="str">
        <f>_xlfn.XLOOKUP(C3429,Product!A:A,Product!B:B,"not found",0)</f>
        <v>Sun Bicycles Boardwalk (24-inch Wheels) - 2017</v>
      </c>
      <c r="I3429" s="1">
        <f t="shared" si="107"/>
        <v>402.92</v>
      </c>
    </row>
    <row r="3430" spans="1:9" x14ac:dyDescent="0.2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 s="1">
        <f t="shared" si="106"/>
        <v>2899.89</v>
      </c>
      <c r="H3430" s="1" t="str">
        <f>_xlfn.XLOOKUP(C3430,Product!A:A,Product!B:B,"not found",0)</f>
        <v>Trek Fuel EX 8 29 - 2016</v>
      </c>
      <c r="I3430" s="1">
        <f t="shared" si="107"/>
        <v>2899.89</v>
      </c>
    </row>
    <row r="3431" spans="1:9" x14ac:dyDescent="0.2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 s="1">
        <f t="shared" si="106"/>
        <v>1499.88</v>
      </c>
      <c r="H3431" s="1" t="str">
        <f>_xlfn.XLOOKUP(C3431,Product!A:A,Product!B:B,"not found",0)</f>
        <v>Surly Ogre Frameset - 2017</v>
      </c>
      <c r="I3431" s="1">
        <f t="shared" si="107"/>
        <v>1499.88</v>
      </c>
    </row>
    <row r="3432" spans="1:9" x14ac:dyDescent="0.2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 s="1">
        <f t="shared" si="106"/>
        <v>501.88</v>
      </c>
      <c r="H3432" s="1" t="str">
        <f>_xlfn.XLOOKUP(C3432,Product!A:A,Product!B:B,"not found",0)</f>
        <v>Sun Bicycles Revolutions 24 - 2017</v>
      </c>
      <c r="I3432" s="1">
        <f t="shared" si="107"/>
        <v>501.88</v>
      </c>
    </row>
    <row r="3433" spans="1:9" x14ac:dyDescent="0.2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 s="1">
        <f t="shared" si="106"/>
        <v>699.78</v>
      </c>
      <c r="H3433" s="1" t="str">
        <f>_xlfn.XLOOKUP(C3433,Product!A:A,Product!B:B,"not found",0)</f>
        <v>Trek Precaliber 24 (21-Speed) - Girls - 2017</v>
      </c>
      <c r="I3433" s="1">
        <f t="shared" si="107"/>
        <v>699.78</v>
      </c>
    </row>
    <row r="3434" spans="1:9" x14ac:dyDescent="0.2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 s="1">
        <f t="shared" si="106"/>
        <v>379.88</v>
      </c>
      <c r="H3434" s="1" t="str">
        <f>_xlfn.XLOOKUP(C3434,Product!A:A,Product!B:B,"not found",0)</f>
        <v>Trek Precaliber 12 Boys - 2017</v>
      </c>
      <c r="I3434" s="1">
        <f t="shared" si="107"/>
        <v>379.88</v>
      </c>
    </row>
    <row r="3435" spans="1:9" x14ac:dyDescent="0.2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 s="1">
        <f t="shared" si="106"/>
        <v>2699.9199999999996</v>
      </c>
      <c r="H3435" s="1" t="str">
        <f>_xlfn.XLOOKUP(C3435,Product!A:A,Product!B:B,"not found",0)</f>
        <v>Trek Domane S 6 - 2017</v>
      </c>
      <c r="I3435" s="1">
        <f t="shared" si="107"/>
        <v>2699.9199999999996</v>
      </c>
    </row>
    <row r="3436" spans="1:9" x14ac:dyDescent="0.2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 s="1">
        <f t="shared" si="106"/>
        <v>979.88</v>
      </c>
      <c r="H3436" s="1" t="str">
        <f>_xlfn.XLOOKUP(C3436,Product!A:A,Product!B:B,"not found",0)</f>
        <v>Electra Townie Original 7D - 2017</v>
      </c>
      <c r="I3436" s="1">
        <f t="shared" si="107"/>
        <v>979.88</v>
      </c>
    </row>
    <row r="3437" spans="1:9" x14ac:dyDescent="0.2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 s="1">
        <f t="shared" si="106"/>
        <v>9999.8799999999992</v>
      </c>
      <c r="H3437" s="1" t="str">
        <f>_xlfn.XLOOKUP(C3437,Product!A:A,Product!B:B,"not found",0)</f>
        <v>Trek Fuel EX 9.8 29 - 2017</v>
      </c>
      <c r="I3437" s="1">
        <f t="shared" si="107"/>
        <v>9999.8799999999992</v>
      </c>
    </row>
    <row r="3438" spans="1:9" x14ac:dyDescent="0.2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 s="1">
        <f t="shared" si="106"/>
        <v>416.92</v>
      </c>
      <c r="H3438" s="1" t="str">
        <f>_xlfn.XLOOKUP(C3438,Product!A:A,Product!B:B,"not found",0)</f>
        <v>Sun Bicycles Atlas X-Type - 2017</v>
      </c>
      <c r="I3438" s="1">
        <f t="shared" si="107"/>
        <v>416.92</v>
      </c>
    </row>
    <row r="3439" spans="1:9" x14ac:dyDescent="0.2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 s="1">
        <f t="shared" si="106"/>
        <v>9999.8799999999992</v>
      </c>
      <c r="H3439" s="1" t="str">
        <f>_xlfn.XLOOKUP(C3439,Product!A:A,Product!B:B,"not found",0)</f>
        <v>Trek Fuel EX 9.8 29 - 2017</v>
      </c>
      <c r="I3439" s="1">
        <f t="shared" si="107"/>
        <v>9999.8799999999992</v>
      </c>
    </row>
    <row r="3440" spans="1:9" x14ac:dyDescent="0.2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 s="1">
        <f t="shared" si="106"/>
        <v>419.88</v>
      </c>
      <c r="H3440" s="1" t="str">
        <f>_xlfn.XLOOKUP(C3440,Product!A:A,Product!B:B,"not found",0)</f>
        <v>Trek Precaliber 16 Boys - 2017</v>
      </c>
      <c r="I3440" s="1">
        <f t="shared" si="107"/>
        <v>419.88</v>
      </c>
    </row>
    <row r="3441" spans="1:9" x14ac:dyDescent="0.2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 s="1">
        <f t="shared" si="106"/>
        <v>489.92</v>
      </c>
      <c r="H3441" s="1" t="str">
        <f>_xlfn.XLOOKUP(C3441,Product!A:A,Product!B:B,"not found",0)</f>
        <v>Electra Townie 3i EQ (20-inch) - Boys' - 2017</v>
      </c>
      <c r="I3441" s="1">
        <f t="shared" si="107"/>
        <v>489.92</v>
      </c>
    </row>
    <row r="3442" spans="1:9" x14ac:dyDescent="0.2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 s="1">
        <f t="shared" si="106"/>
        <v>1099.8800000000001</v>
      </c>
      <c r="H3442" s="1" t="str">
        <f>_xlfn.XLOOKUP(C3442,Product!A:A,Product!B:B,"not found",0)</f>
        <v>Electra Townie Original 21D - 2016</v>
      </c>
      <c r="I3442" s="1">
        <f t="shared" si="107"/>
        <v>1099.8800000000001</v>
      </c>
    </row>
    <row r="3443" spans="1:9" x14ac:dyDescent="0.2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 s="1">
        <f t="shared" si="106"/>
        <v>379.91</v>
      </c>
      <c r="H3443" s="1" t="str">
        <f>_xlfn.XLOOKUP(C3443,Product!A:A,Product!B:B,"not found",0)</f>
        <v>Trek Precaliber 12 Girls - 2017</v>
      </c>
      <c r="I3443" s="1">
        <f t="shared" si="107"/>
        <v>379.91</v>
      </c>
    </row>
    <row r="3444" spans="1:9" x14ac:dyDescent="0.2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 s="1">
        <f t="shared" si="106"/>
        <v>759.78</v>
      </c>
      <c r="H3444" s="1" t="str">
        <f>_xlfn.XLOOKUP(C3444,Product!A:A,Product!B:B,"not found",0)</f>
        <v>Haro Flightline One ST - 2017</v>
      </c>
      <c r="I3444" s="1">
        <f t="shared" si="107"/>
        <v>759.78</v>
      </c>
    </row>
    <row r="3445" spans="1:9" x14ac:dyDescent="0.2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 s="1">
        <f t="shared" si="106"/>
        <v>299.93</v>
      </c>
      <c r="H3445" s="1" t="str">
        <f>_xlfn.XLOOKUP(C3445,Product!A:A,Product!B:B,"not found",0)</f>
        <v>Trek Boy's Kickster - 2015/2017</v>
      </c>
      <c r="I3445" s="1">
        <f t="shared" si="107"/>
        <v>299.93</v>
      </c>
    </row>
    <row r="3446" spans="1:9" x14ac:dyDescent="0.2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 s="1">
        <f t="shared" si="106"/>
        <v>999.94</v>
      </c>
      <c r="H3446" s="1" t="str">
        <f>_xlfn.XLOOKUP(C3446,Product!A:A,Product!B:B,"not found",0)</f>
        <v>Surly Big Dummy Frameset - 2017</v>
      </c>
      <c r="I3446" s="1">
        <f t="shared" si="107"/>
        <v>999.94</v>
      </c>
    </row>
    <row r="3447" spans="1:9" x14ac:dyDescent="0.2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 s="1">
        <f t="shared" si="106"/>
        <v>416.94</v>
      </c>
      <c r="H3447" s="1" t="str">
        <f>_xlfn.XLOOKUP(C3447,Product!A:A,Product!B:B,"not found",0)</f>
        <v>Sun Bicycles Atlas X-Type - 2017</v>
      </c>
      <c r="I3447" s="1">
        <f t="shared" si="107"/>
        <v>416.94</v>
      </c>
    </row>
    <row r="3448" spans="1:9" x14ac:dyDescent="0.2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 s="1">
        <f t="shared" si="106"/>
        <v>7999.91</v>
      </c>
      <c r="H3448" s="1" t="str">
        <f>_xlfn.XLOOKUP(C3448,Product!A:A,Product!B:B,"not found",0)</f>
        <v>Trek Slash 8 27.5 - 2016</v>
      </c>
      <c r="I3448" s="1">
        <f t="shared" si="107"/>
        <v>7999.91</v>
      </c>
    </row>
    <row r="3449" spans="1:9" x14ac:dyDescent="0.2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 s="1">
        <f t="shared" si="106"/>
        <v>1067.8800000000001</v>
      </c>
      <c r="H3449" s="1" t="str">
        <f>_xlfn.XLOOKUP(C3449,Product!A:A,Product!B:B,"not found",0)</f>
        <v>Sun Bicycles Streamway 7 - 2017</v>
      </c>
      <c r="I3449" s="1">
        <f t="shared" si="107"/>
        <v>1067.8800000000001</v>
      </c>
    </row>
    <row r="3450" spans="1:9" x14ac:dyDescent="0.2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 s="1">
        <f t="shared" si="106"/>
        <v>109.94</v>
      </c>
      <c r="H3450" s="1" t="str">
        <f>_xlfn.XLOOKUP(C3450,Product!A:A,Product!B:B,"not found",0)</f>
        <v>Sun Bicycles Lil Kitt'n - 2017</v>
      </c>
      <c r="I3450" s="1">
        <f t="shared" si="107"/>
        <v>109.94</v>
      </c>
    </row>
    <row r="3451" spans="1:9" x14ac:dyDescent="0.2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 s="1">
        <f t="shared" si="106"/>
        <v>875.92</v>
      </c>
      <c r="H3451" s="1" t="str">
        <f>_xlfn.XLOOKUP(C3451,Product!A:A,Product!B:B,"not found",0)</f>
        <v>Surly Steamroller - 2017</v>
      </c>
      <c r="I3451" s="1">
        <f t="shared" si="107"/>
        <v>875.92</v>
      </c>
    </row>
    <row r="3452" spans="1:9" x14ac:dyDescent="0.2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 s="1">
        <f t="shared" si="106"/>
        <v>749.92</v>
      </c>
      <c r="H3452" s="1" t="str">
        <f>_xlfn.XLOOKUP(C3452,Product!A:A,Product!B:B,"not found",0)</f>
        <v>Surly Ogre Frameset - 2017</v>
      </c>
      <c r="I3452" s="1">
        <f t="shared" si="107"/>
        <v>749.92</v>
      </c>
    </row>
    <row r="3453" spans="1:9" x14ac:dyDescent="0.2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 s="1">
        <f t="shared" si="106"/>
        <v>269.92</v>
      </c>
      <c r="H3453" s="1" t="str">
        <f>_xlfn.XLOOKUP(C3453,Product!A:A,Product!B:B,"not found",0)</f>
        <v>Electra Cruiser 1 (24-Inch) - 2016</v>
      </c>
      <c r="I3453" s="1">
        <f t="shared" si="107"/>
        <v>269.92</v>
      </c>
    </row>
    <row r="3454" spans="1:9" x14ac:dyDescent="0.2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 s="1">
        <f t="shared" si="106"/>
        <v>899.93000000000006</v>
      </c>
      <c r="H3454" s="1" t="str">
        <f>_xlfn.XLOOKUP(C3454,Product!A:A,Product!B:B,"not found",0)</f>
        <v>Sun Bicycles Cruz 3 - Women's - 2017</v>
      </c>
      <c r="I3454" s="1">
        <f t="shared" si="107"/>
        <v>899.93000000000006</v>
      </c>
    </row>
    <row r="3455" spans="1:9" x14ac:dyDescent="0.2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 s="1">
        <f t="shared" si="106"/>
        <v>5999.9299999999994</v>
      </c>
      <c r="H3455" s="1" t="str">
        <f>_xlfn.XLOOKUP(C3455,Product!A:A,Product!B:B,"not found",0)</f>
        <v>Trek Conduit+ - 2016</v>
      </c>
      <c r="I3455" s="1">
        <f t="shared" si="107"/>
        <v>5999.9299999999994</v>
      </c>
    </row>
    <row r="3456" spans="1:9" x14ac:dyDescent="0.2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 s="1">
        <f t="shared" si="106"/>
        <v>899.78</v>
      </c>
      <c r="H3456" s="1" t="str">
        <f>_xlfn.XLOOKUP(C3456,Product!A:A,Product!B:B,"not found",0)</f>
        <v>Sun Bicycles Cruz 3 - 2017</v>
      </c>
      <c r="I3456" s="1">
        <f t="shared" si="107"/>
        <v>899.78</v>
      </c>
    </row>
    <row r="3457" spans="1:9" x14ac:dyDescent="0.2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 s="1">
        <f t="shared" si="106"/>
        <v>533.94000000000005</v>
      </c>
      <c r="H3457" s="1" t="str">
        <f>_xlfn.XLOOKUP(C3457,Product!A:A,Product!B:B,"not found",0)</f>
        <v>Sun Bicycles Streamway 7 - 2017</v>
      </c>
      <c r="I3457" s="1">
        <f t="shared" si="107"/>
        <v>533.94000000000005</v>
      </c>
    </row>
    <row r="3458" spans="1:9" x14ac:dyDescent="0.2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 s="1">
        <f t="shared" si="106"/>
        <v>469.94</v>
      </c>
      <c r="H3458" s="1" t="str">
        <f>_xlfn.XLOOKUP(C3458,Product!A:A,Product!B:B,"not found",0)</f>
        <v>Trek Farley Alloy Frameset - 2017</v>
      </c>
      <c r="I3458" s="1">
        <f t="shared" si="107"/>
        <v>469.94</v>
      </c>
    </row>
    <row r="3459" spans="1:9" x14ac:dyDescent="0.2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 s="1">
        <f t="shared" ref="G3459:G3522" si="108">(E3459*D3459)-F3459</f>
        <v>499.91</v>
      </c>
      <c r="H3459" s="1" t="str">
        <f>_xlfn.XLOOKUP(C3459,Product!A:A,Product!B:B,"not found",0)</f>
        <v>Haro Shredder Pro 20 - 2017</v>
      </c>
      <c r="I3459" s="1">
        <f t="shared" ref="I3459:I3522" si="109">(D3459*E3459)-F3459</f>
        <v>499.91</v>
      </c>
    </row>
    <row r="3460" spans="1:9" x14ac:dyDescent="0.2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 s="1">
        <f t="shared" si="108"/>
        <v>833.88</v>
      </c>
      <c r="H3460" s="1" t="str">
        <f>_xlfn.XLOOKUP(C3460,Product!A:A,Product!B:B,"not found",0)</f>
        <v>Sun Bicycles Cruz 7 - Women's - 2017</v>
      </c>
      <c r="I3460" s="1">
        <f t="shared" si="109"/>
        <v>833.88</v>
      </c>
    </row>
    <row r="3461" spans="1:9" x14ac:dyDescent="0.2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 s="1">
        <f t="shared" si="108"/>
        <v>4599.78</v>
      </c>
      <c r="H3461" s="1" t="str">
        <f>_xlfn.XLOOKUP(C3461,Product!A:A,Product!B:B,"not found",0)</f>
        <v>Trek Fuel EX 5 27.5 Plus - 2017</v>
      </c>
      <c r="I3461" s="1">
        <f t="shared" si="109"/>
        <v>4599.78</v>
      </c>
    </row>
    <row r="3462" spans="1:9" x14ac:dyDescent="0.2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 s="1">
        <f t="shared" si="108"/>
        <v>299.92</v>
      </c>
      <c r="H3462" s="1" t="str">
        <f>_xlfn.XLOOKUP(C3462,Product!A:A,Product!B:B,"not found",0)</f>
        <v>Electra Girl's Hawaii 1 16" - 2017</v>
      </c>
      <c r="I3462" s="1">
        <f t="shared" si="109"/>
        <v>299.92</v>
      </c>
    </row>
    <row r="3463" spans="1:9" x14ac:dyDescent="0.2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 s="1">
        <f t="shared" si="108"/>
        <v>269.94</v>
      </c>
      <c r="H3463" s="1" t="str">
        <f>_xlfn.XLOOKUP(C3463,Product!A:A,Product!B:B,"not found",0)</f>
        <v>Electra Cruiser 1 (24-Inch) - 2016</v>
      </c>
      <c r="I3463" s="1">
        <f t="shared" si="109"/>
        <v>269.94</v>
      </c>
    </row>
    <row r="3464" spans="1:9" x14ac:dyDescent="0.2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 s="1">
        <f t="shared" si="108"/>
        <v>599.79</v>
      </c>
      <c r="H3464" s="1" t="str">
        <f>_xlfn.XLOOKUP(C3464,Product!A:A,Product!B:B,"not found",0)</f>
        <v>Electra Townie Original 7D EQ - 2016</v>
      </c>
      <c r="I3464" s="1">
        <f t="shared" si="109"/>
        <v>599.79</v>
      </c>
    </row>
    <row r="3465" spans="1:9" x14ac:dyDescent="0.2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 s="1">
        <f t="shared" si="108"/>
        <v>857.95</v>
      </c>
      <c r="H3465" s="1" t="str">
        <f>_xlfn.XLOOKUP(C3465,Product!A:A,Product!B:B,"not found",0)</f>
        <v>Pure Cycles Vine 8-Speed - 2016</v>
      </c>
      <c r="I3465" s="1">
        <f t="shared" si="109"/>
        <v>857.95</v>
      </c>
    </row>
    <row r="3466" spans="1:9" x14ac:dyDescent="0.2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 s="1">
        <f t="shared" si="108"/>
        <v>897.8</v>
      </c>
      <c r="H3466" s="1" t="str">
        <f>_xlfn.XLOOKUP(C3466,Product!A:A,Product!B:B,"not found",0)</f>
        <v>Pure Cycles William 3-Speed - 2016</v>
      </c>
      <c r="I3466" s="1">
        <f t="shared" si="109"/>
        <v>897.8</v>
      </c>
    </row>
    <row r="3467" spans="1:9" x14ac:dyDescent="0.2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 s="1">
        <f t="shared" si="108"/>
        <v>219.92999999999998</v>
      </c>
      <c r="H3467" s="1" t="str">
        <f>_xlfn.XLOOKUP(C3467,Product!A:A,Product!B:B,"not found",0)</f>
        <v>Sun Bicycles Lil Kitt'n - 2017</v>
      </c>
      <c r="I3467" s="1">
        <f t="shared" si="109"/>
        <v>219.92999999999998</v>
      </c>
    </row>
    <row r="3468" spans="1:9" x14ac:dyDescent="0.2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 s="1">
        <f t="shared" si="108"/>
        <v>939.91</v>
      </c>
      <c r="H3468" s="1" t="str">
        <f>_xlfn.XLOOKUP(C3468,Product!A:A,Product!B:B,"not found",0)</f>
        <v>Surly Ice Cream Truck Frameset - 2016</v>
      </c>
      <c r="I3468" s="1">
        <f t="shared" si="109"/>
        <v>939.91</v>
      </c>
    </row>
    <row r="3469" spans="1:9" x14ac:dyDescent="0.2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 s="1">
        <f t="shared" si="108"/>
        <v>2699.9399999999996</v>
      </c>
      <c r="H3469" s="1" t="str">
        <f>_xlfn.XLOOKUP(C3469,Product!A:A,Product!B:B,"not found",0)</f>
        <v>Trek Domane S 6 - 2017</v>
      </c>
      <c r="I3469" s="1">
        <f t="shared" si="109"/>
        <v>2699.9399999999996</v>
      </c>
    </row>
    <row r="3470" spans="1:9" x14ac:dyDescent="0.2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 s="1">
        <f t="shared" si="108"/>
        <v>759.91</v>
      </c>
      <c r="H3470" s="1" t="str">
        <f>_xlfn.XLOOKUP(C3470,Product!A:A,Product!B:B,"not found",0)</f>
        <v>Haro Flightline One ST - 2017</v>
      </c>
      <c r="I3470" s="1">
        <f t="shared" si="109"/>
        <v>759.91</v>
      </c>
    </row>
    <row r="3471" spans="1:9" x14ac:dyDescent="0.2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 s="1">
        <f t="shared" si="108"/>
        <v>1067.78</v>
      </c>
      <c r="H3471" s="1" t="str">
        <f>_xlfn.XLOOKUP(C3471,Product!A:A,Product!B:B,"not found",0)</f>
        <v>Sun Bicycles Streamway 7 - 2017</v>
      </c>
      <c r="I3471" s="1">
        <f t="shared" si="109"/>
        <v>1067.78</v>
      </c>
    </row>
    <row r="3472" spans="1:9" x14ac:dyDescent="0.2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 s="1">
        <f t="shared" si="108"/>
        <v>2819.78</v>
      </c>
      <c r="H3472" s="1" t="str">
        <f>_xlfn.XLOOKUP(C3472,Product!A:A,Product!B:B,"not found",0)</f>
        <v>Haro SR 1.3 - 2017</v>
      </c>
      <c r="I3472" s="1">
        <f t="shared" si="109"/>
        <v>2819.78</v>
      </c>
    </row>
    <row r="3473" spans="1:9" x14ac:dyDescent="0.2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 s="1">
        <f t="shared" si="108"/>
        <v>416.94</v>
      </c>
      <c r="H3473" s="1" t="str">
        <f>_xlfn.XLOOKUP(C3473,Product!A:A,Product!B:B,"not found",0)</f>
        <v>Sun Bicycles Atlas X-Type - 2017</v>
      </c>
      <c r="I3473" s="1">
        <f t="shared" si="109"/>
        <v>416.94</v>
      </c>
    </row>
    <row r="3474" spans="1:9" x14ac:dyDescent="0.2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 s="1">
        <f t="shared" si="108"/>
        <v>805.91</v>
      </c>
      <c r="H3474" s="1" t="str">
        <f>_xlfn.XLOOKUP(C3474,Product!A:A,Product!B:B,"not found",0)</f>
        <v>Sun Bicycles Boardwalk (24-inch Wheels) - 2017</v>
      </c>
      <c r="I3474" s="1">
        <f t="shared" si="109"/>
        <v>805.91</v>
      </c>
    </row>
    <row r="3475" spans="1:9" x14ac:dyDescent="0.2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 s="1">
        <f t="shared" si="108"/>
        <v>209.89000000000001</v>
      </c>
      <c r="H3475" s="1" t="str">
        <f>_xlfn.XLOOKUP(C3475,Product!A:A,Product!B:B,"not found",0)</f>
        <v>Haro Shredder 20 - 2017</v>
      </c>
      <c r="I3475" s="1">
        <f t="shared" si="109"/>
        <v>209.89000000000001</v>
      </c>
    </row>
    <row r="3476" spans="1:9" x14ac:dyDescent="0.2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 s="1">
        <f t="shared" si="108"/>
        <v>749.92</v>
      </c>
      <c r="H3476" s="1" t="str">
        <f>_xlfn.XLOOKUP(C3476,Product!A:A,Product!B:B,"not found",0)</f>
        <v>Sun Bicycles Brickell Tandem 7 - 2017</v>
      </c>
      <c r="I3476" s="1">
        <f t="shared" si="109"/>
        <v>749.92</v>
      </c>
    </row>
    <row r="3477" spans="1:9" x14ac:dyDescent="0.2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 s="1">
        <f t="shared" si="108"/>
        <v>999.79</v>
      </c>
      <c r="H3477" s="1" t="str">
        <f>_xlfn.XLOOKUP(C3477,Product!A:A,Product!B:B,"not found",0)</f>
        <v>Trek X-Caliber 8 - 2017</v>
      </c>
      <c r="I3477" s="1">
        <f t="shared" si="109"/>
        <v>999.79</v>
      </c>
    </row>
    <row r="3478" spans="1:9" x14ac:dyDescent="0.2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 s="1">
        <f t="shared" si="108"/>
        <v>481.94</v>
      </c>
      <c r="H3478" s="1" t="str">
        <f>_xlfn.XLOOKUP(C3478,Product!A:A,Product!B:B,"not found",0)</f>
        <v>Sun Bicycles Streamway - 2017</v>
      </c>
      <c r="I3478" s="1">
        <f t="shared" si="109"/>
        <v>481.94</v>
      </c>
    </row>
    <row r="3479" spans="1:9" x14ac:dyDescent="0.2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 s="1">
        <f t="shared" si="108"/>
        <v>551.89</v>
      </c>
      <c r="H3479" s="1" t="str">
        <f>_xlfn.XLOOKUP(C3479,Product!A:A,Product!B:B,"not found",0)</f>
        <v>Sun Bicycles Streamway 3 - 2017</v>
      </c>
      <c r="I3479" s="1">
        <f t="shared" si="109"/>
        <v>551.89</v>
      </c>
    </row>
    <row r="3480" spans="1:9" x14ac:dyDescent="0.2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 s="1">
        <f t="shared" si="108"/>
        <v>299.92</v>
      </c>
      <c r="H3480" s="1" t="str">
        <f>_xlfn.XLOOKUP(C3480,Product!A:A,Product!B:B,"not found",0)</f>
        <v>Electra Girl's Hawaii 1 (20-inch) - 2015/2016</v>
      </c>
      <c r="I3480" s="1">
        <f t="shared" si="109"/>
        <v>299.92</v>
      </c>
    </row>
    <row r="3481" spans="1:9" x14ac:dyDescent="0.2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 s="1">
        <f t="shared" si="108"/>
        <v>549.79</v>
      </c>
      <c r="H3481" s="1" t="str">
        <f>_xlfn.XLOOKUP(C3481,Product!A:A,Product!B:B,"not found",0)</f>
        <v>Electra Townie Original 21D - 2016</v>
      </c>
      <c r="I3481" s="1">
        <f t="shared" si="109"/>
        <v>549.79</v>
      </c>
    </row>
    <row r="3482" spans="1:9" x14ac:dyDescent="0.2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 s="1">
        <f t="shared" si="108"/>
        <v>693.91</v>
      </c>
      <c r="H3482" s="1" t="str">
        <f>_xlfn.XLOOKUP(C3482,Product!A:A,Product!B:B,"not found",0)</f>
        <v>Sun Bicycles Lil Bolt Type-R - 2017</v>
      </c>
      <c r="I3482" s="1">
        <f t="shared" si="109"/>
        <v>693.91</v>
      </c>
    </row>
    <row r="3483" spans="1:9" x14ac:dyDescent="0.2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 s="1">
        <f t="shared" si="108"/>
        <v>299.78000000000003</v>
      </c>
      <c r="H3483" s="1" t="str">
        <f>_xlfn.XLOOKUP(C3483,Product!A:A,Product!B:B,"not found",0)</f>
        <v>Trek Girl's Kickster - 2017</v>
      </c>
      <c r="I3483" s="1">
        <f t="shared" si="109"/>
        <v>299.78000000000003</v>
      </c>
    </row>
    <row r="3484" spans="1:9" x14ac:dyDescent="0.2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 s="1">
        <f t="shared" si="108"/>
        <v>539.88</v>
      </c>
      <c r="H3484" s="1" t="str">
        <f>_xlfn.XLOOKUP(C3484,Product!A:A,Product!B:B,"not found",0)</f>
        <v>Electra Cruiser 1 (24-Inch) - 2016</v>
      </c>
      <c r="I3484" s="1">
        <f t="shared" si="109"/>
        <v>539.88</v>
      </c>
    </row>
    <row r="3485" spans="1:9" x14ac:dyDescent="0.2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 s="1">
        <f t="shared" si="108"/>
        <v>189.92000000000002</v>
      </c>
      <c r="H3485" s="1" t="str">
        <f>_xlfn.XLOOKUP(C3485,Product!A:A,Product!B:B,"not found",0)</f>
        <v>Trek Precaliber 12 Boys - 2017</v>
      </c>
      <c r="I3485" s="1">
        <f t="shared" si="109"/>
        <v>189.92000000000002</v>
      </c>
    </row>
    <row r="3486" spans="1:9" x14ac:dyDescent="0.2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 s="1">
        <f t="shared" si="108"/>
        <v>209.92000000000002</v>
      </c>
      <c r="H3486" s="1" t="str">
        <f>_xlfn.XLOOKUP(C3486,Product!A:A,Product!B:B,"not found",0)</f>
        <v>Trek Precaliber 16 Boys - 2017</v>
      </c>
      <c r="I3486" s="1">
        <f t="shared" si="109"/>
        <v>209.92000000000002</v>
      </c>
    </row>
    <row r="3487" spans="1:9" x14ac:dyDescent="0.2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 s="1">
        <f t="shared" si="108"/>
        <v>349.94</v>
      </c>
      <c r="H3487" s="1" t="str">
        <f>_xlfn.XLOOKUP(C3487,Product!A:A,Product!B:B,"not found",0)</f>
        <v>Electra Savannah 3i (20-inch) - Girl's - 2017</v>
      </c>
      <c r="I3487" s="1">
        <f t="shared" si="109"/>
        <v>349.94</v>
      </c>
    </row>
    <row r="3488" spans="1:9" x14ac:dyDescent="0.2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 s="1">
        <f t="shared" si="108"/>
        <v>599.89</v>
      </c>
      <c r="H3488" s="1" t="str">
        <f>_xlfn.XLOOKUP(C3488,Product!A:A,Product!B:B,"not found",0)</f>
        <v>Electra Townie Original 7D EQ - 2016</v>
      </c>
      <c r="I3488" s="1">
        <f t="shared" si="109"/>
        <v>599.89</v>
      </c>
    </row>
    <row r="3489" spans="1:9" x14ac:dyDescent="0.2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 s="1">
        <f t="shared" si="108"/>
        <v>939.91</v>
      </c>
      <c r="H3489" s="1" t="str">
        <f>_xlfn.XLOOKUP(C3489,Product!A:A,Product!B:B,"not found",0)</f>
        <v>Surly Ice Cream Truck Frameset - 2016</v>
      </c>
      <c r="I3489" s="1">
        <f t="shared" si="109"/>
        <v>939.91</v>
      </c>
    </row>
    <row r="3490" spans="1:9" x14ac:dyDescent="0.2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 s="1">
        <f t="shared" si="108"/>
        <v>1295.93</v>
      </c>
      <c r="H3490" s="1" t="str">
        <f>_xlfn.XLOOKUP(C3490,Product!A:A,Product!B:B,"not found",0)</f>
        <v>Sun Bicycles Biscayne Tandem CB - 2017</v>
      </c>
      <c r="I3490" s="1">
        <f t="shared" si="109"/>
        <v>1295.93</v>
      </c>
    </row>
    <row r="3491" spans="1:9" x14ac:dyDescent="0.2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 s="1">
        <f t="shared" si="108"/>
        <v>109.89</v>
      </c>
      <c r="H3491" s="1" t="str">
        <f>_xlfn.XLOOKUP(C3491,Product!A:A,Product!B:B,"not found",0)</f>
        <v>Sun Bicycles Lil Kitt'n - 2017</v>
      </c>
      <c r="I3491" s="1">
        <f t="shared" si="109"/>
        <v>109.89</v>
      </c>
    </row>
    <row r="3492" spans="1:9" x14ac:dyDescent="0.2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 s="1">
        <f t="shared" si="108"/>
        <v>1665.93</v>
      </c>
      <c r="H3492" s="1" t="str">
        <f>_xlfn.XLOOKUP(C3492,Product!A:A,Product!B:B,"not found",0)</f>
        <v>Sun Bicycles Spider 3i - 2017</v>
      </c>
      <c r="I3492" s="1">
        <f t="shared" si="109"/>
        <v>1665.93</v>
      </c>
    </row>
    <row r="3493" spans="1:9" x14ac:dyDescent="0.2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 s="1">
        <f t="shared" si="108"/>
        <v>1059.78</v>
      </c>
      <c r="H3493" s="1" t="str">
        <f>_xlfn.XLOOKUP(C3493,Product!A:A,Product!B:B,"not found",0)</f>
        <v>Electra Moto 1 - 2016</v>
      </c>
      <c r="I3493" s="1">
        <f t="shared" si="109"/>
        <v>1059.78</v>
      </c>
    </row>
    <row r="3494" spans="1:9" x14ac:dyDescent="0.2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 s="1">
        <f t="shared" si="108"/>
        <v>2599.9399999999996</v>
      </c>
      <c r="H3494" s="1" t="str">
        <f>_xlfn.XLOOKUP(C3494,Product!A:A,Product!B:B,"not found",0)</f>
        <v>Trek Domane S 5 Disc - 2017</v>
      </c>
      <c r="I3494" s="1">
        <f t="shared" si="109"/>
        <v>2599.9399999999996</v>
      </c>
    </row>
    <row r="3495" spans="1:9" x14ac:dyDescent="0.2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 s="1">
        <f t="shared" si="108"/>
        <v>209.79000000000002</v>
      </c>
      <c r="H3495" s="1" t="str">
        <f>_xlfn.XLOOKUP(C3495,Product!A:A,Product!B:B,"not found",0)</f>
        <v>Haro Shredder 20 - 2017</v>
      </c>
      <c r="I3495" s="1">
        <f t="shared" si="109"/>
        <v>209.79000000000002</v>
      </c>
    </row>
    <row r="3496" spans="1:9" x14ac:dyDescent="0.2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 s="1">
        <f t="shared" si="108"/>
        <v>209.89000000000001</v>
      </c>
      <c r="H3496" s="1" t="str">
        <f>_xlfn.XLOOKUP(C3496,Product!A:A,Product!B:B,"not found",0)</f>
        <v>Haro Shredder 20 Girls - 2017</v>
      </c>
      <c r="I3496" s="1">
        <f t="shared" si="109"/>
        <v>209.89000000000001</v>
      </c>
    </row>
    <row r="3497" spans="1:9" x14ac:dyDescent="0.2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 s="1">
        <f t="shared" si="108"/>
        <v>899.78</v>
      </c>
      <c r="H3497" s="1" t="str">
        <f>_xlfn.XLOOKUP(C3497,Product!A:A,Product!B:B,"not found",0)</f>
        <v>Sun Bicycles Cruz 3 - Women's - 2017</v>
      </c>
      <c r="I3497" s="1">
        <f t="shared" si="109"/>
        <v>899.78</v>
      </c>
    </row>
    <row r="3498" spans="1:9" x14ac:dyDescent="0.2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 s="1">
        <f t="shared" si="108"/>
        <v>439.89</v>
      </c>
      <c r="H3498" s="1" t="str">
        <f>_xlfn.XLOOKUP(C3498,Product!A:A,Product!B:B,"not found",0)</f>
        <v>Electra Cruiser Lux 1 - 2017</v>
      </c>
      <c r="I3498" s="1">
        <f t="shared" si="109"/>
        <v>439.89</v>
      </c>
    </row>
    <row r="3499" spans="1:9" x14ac:dyDescent="0.2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 s="1">
        <f t="shared" si="108"/>
        <v>759.91</v>
      </c>
      <c r="H3499" s="1" t="str">
        <f>_xlfn.XLOOKUP(C3499,Product!A:A,Product!B:B,"not found",0)</f>
        <v>Haro Flightline One ST - 2017</v>
      </c>
      <c r="I3499" s="1">
        <f t="shared" si="109"/>
        <v>759.91</v>
      </c>
    </row>
    <row r="3500" spans="1:9" x14ac:dyDescent="0.2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 s="1">
        <f t="shared" si="108"/>
        <v>2999.93</v>
      </c>
      <c r="H3500" s="1" t="str">
        <f>_xlfn.XLOOKUP(C3500,Product!A:A,Product!B:B,"not found",0)</f>
        <v>Trek Stache 5 - 2017</v>
      </c>
      <c r="I3500" s="1">
        <f t="shared" si="109"/>
        <v>2999.93</v>
      </c>
    </row>
    <row r="3501" spans="1:9" x14ac:dyDescent="0.2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 s="1">
        <f t="shared" si="108"/>
        <v>899.91</v>
      </c>
      <c r="H3501" s="1" t="str">
        <f>_xlfn.XLOOKUP(C3501,Product!A:A,Product!B:B,"not found",0)</f>
        <v>Sun Bicycles Cruz 3 - 2017</v>
      </c>
      <c r="I3501" s="1">
        <f t="shared" si="109"/>
        <v>899.91</v>
      </c>
    </row>
    <row r="3502" spans="1:9" x14ac:dyDescent="0.2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 s="1">
        <f t="shared" si="108"/>
        <v>979.91</v>
      </c>
      <c r="H3502" s="1" t="str">
        <f>_xlfn.XLOOKUP(C3502,Product!A:A,Product!B:B,"not found",0)</f>
        <v>Electra Townie Original 7D - 2017</v>
      </c>
      <c r="I3502" s="1">
        <f t="shared" si="109"/>
        <v>979.91</v>
      </c>
    </row>
    <row r="3503" spans="1:9" x14ac:dyDescent="0.2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 s="1">
        <f t="shared" si="108"/>
        <v>647.91999999999996</v>
      </c>
      <c r="H3503" s="1" t="str">
        <f>_xlfn.XLOOKUP(C3503,Product!A:A,Product!B:B,"not found",0)</f>
        <v>Sun Bicycles Biscayne Tandem CB - 2017</v>
      </c>
      <c r="I3503" s="1">
        <f t="shared" si="109"/>
        <v>647.91999999999996</v>
      </c>
    </row>
    <row r="3504" spans="1:9" x14ac:dyDescent="0.2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 s="1">
        <f t="shared" si="108"/>
        <v>979.88</v>
      </c>
      <c r="H3504" s="1" t="str">
        <f>_xlfn.XLOOKUP(C3504,Product!A:A,Product!B:B,"not found",0)</f>
        <v>Electra Townie Original 7D - 2017</v>
      </c>
      <c r="I3504" s="1">
        <f t="shared" si="109"/>
        <v>979.88</v>
      </c>
    </row>
    <row r="3505" spans="1:9" x14ac:dyDescent="0.2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 s="1">
        <f t="shared" si="108"/>
        <v>529.94000000000005</v>
      </c>
      <c r="H3505" s="1" t="str">
        <f>_xlfn.XLOOKUP(C3505,Product!A:A,Product!B:B,"not found",0)</f>
        <v>Electra Moto 1 - 2016</v>
      </c>
      <c r="I3505" s="1">
        <f t="shared" si="109"/>
        <v>529.94000000000005</v>
      </c>
    </row>
    <row r="3506" spans="1:9" x14ac:dyDescent="0.2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 s="1">
        <f t="shared" si="108"/>
        <v>5999.9299999999994</v>
      </c>
      <c r="H3506" s="1" t="str">
        <f>_xlfn.XLOOKUP(C3506,Product!A:A,Product!B:B,"not found",0)</f>
        <v>Trek Conduit+ - 2016</v>
      </c>
      <c r="I3506" s="1">
        <f t="shared" si="109"/>
        <v>5999.9299999999994</v>
      </c>
    </row>
    <row r="3507" spans="1:9" x14ac:dyDescent="0.2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 s="1">
        <f t="shared" si="108"/>
        <v>3999.79</v>
      </c>
      <c r="H3507" s="1" t="str">
        <f>_xlfn.XLOOKUP(C3507,Product!A:A,Product!B:B,"not found",0)</f>
        <v>Trek Slash 8 27.5 - 2016</v>
      </c>
      <c r="I3507" s="1">
        <f t="shared" si="109"/>
        <v>3999.79</v>
      </c>
    </row>
    <row r="3508" spans="1:9" x14ac:dyDescent="0.2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 s="1">
        <f t="shared" si="108"/>
        <v>269.94</v>
      </c>
      <c r="H3508" s="1" t="str">
        <f>_xlfn.XLOOKUP(C3508,Product!A:A,Product!B:B,"not found",0)</f>
        <v>Electra Girl's Hawaii 1 (16-inch) - 2015/2016</v>
      </c>
      <c r="I3508" s="1">
        <f t="shared" si="109"/>
        <v>269.94</v>
      </c>
    </row>
    <row r="3509" spans="1:9" x14ac:dyDescent="0.2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 s="1">
        <f t="shared" si="108"/>
        <v>1599.88</v>
      </c>
      <c r="H3509" s="1" t="str">
        <f>_xlfn.XLOOKUP(C3509,Product!A:A,Product!B:B,"not found",0)</f>
        <v>Electra Glam Punk 3i Ladies' - 2017</v>
      </c>
      <c r="I3509" s="1">
        <f t="shared" si="109"/>
        <v>1599.88</v>
      </c>
    </row>
    <row r="3510" spans="1:9" x14ac:dyDescent="0.2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 s="1">
        <f t="shared" si="108"/>
        <v>501.78000000000003</v>
      </c>
      <c r="H3510" s="1" t="str">
        <f>_xlfn.XLOOKUP(C3510,Product!A:A,Product!B:B,"not found",0)</f>
        <v>Sun Bicycles Revolutions 24 - Girl's - 2017</v>
      </c>
      <c r="I3510" s="1">
        <f t="shared" si="109"/>
        <v>501.78000000000003</v>
      </c>
    </row>
    <row r="3511" spans="1:9" x14ac:dyDescent="0.2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 s="1">
        <f t="shared" si="108"/>
        <v>1499.88</v>
      </c>
      <c r="H3511" s="1" t="str">
        <f>_xlfn.XLOOKUP(C3511,Product!A:A,Product!B:B,"not found",0)</f>
        <v>Sun Bicycles Brickell Tandem 7 - 2017</v>
      </c>
      <c r="I3511" s="1">
        <f t="shared" si="109"/>
        <v>1499.88</v>
      </c>
    </row>
    <row r="3512" spans="1:9" x14ac:dyDescent="0.2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 s="1">
        <f t="shared" si="108"/>
        <v>3097.93</v>
      </c>
      <c r="H3512" s="1" t="str">
        <f>_xlfn.XLOOKUP(C3512,Product!A:A,Product!B:B,"not found",0)</f>
        <v>Surly Straggler - 2016</v>
      </c>
      <c r="I3512" s="1">
        <f t="shared" si="109"/>
        <v>3097.93</v>
      </c>
    </row>
    <row r="3513" spans="1:9" x14ac:dyDescent="0.2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 s="1">
        <f t="shared" si="108"/>
        <v>979.88</v>
      </c>
      <c r="H3513" s="1" t="str">
        <f>_xlfn.XLOOKUP(C3513,Product!A:A,Product!B:B,"not found",0)</f>
        <v>Electra Townie Original 7D - 2017</v>
      </c>
      <c r="I3513" s="1">
        <f t="shared" si="109"/>
        <v>979.88</v>
      </c>
    </row>
    <row r="3514" spans="1:9" x14ac:dyDescent="0.2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 s="1">
        <f t="shared" si="108"/>
        <v>3199.9399999999996</v>
      </c>
      <c r="H3514" s="1" t="str">
        <f>_xlfn.XLOOKUP(C3514,Product!A:A,Product!B:B,"not found",0)</f>
        <v>Trek Domane SL Disc Frameset - 2017</v>
      </c>
      <c r="I3514" s="1">
        <f t="shared" si="109"/>
        <v>3199.9399999999996</v>
      </c>
    </row>
    <row r="3515" spans="1:9" x14ac:dyDescent="0.2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 s="1">
        <f t="shared" si="108"/>
        <v>448.8</v>
      </c>
      <c r="H3515" s="1" t="str">
        <f>_xlfn.XLOOKUP(C3515,Product!A:A,Product!B:B,"not found",0)</f>
        <v>Pure Cycles William 3-Speed - 2016</v>
      </c>
      <c r="I3515" s="1">
        <f t="shared" si="109"/>
        <v>448.8</v>
      </c>
    </row>
    <row r="3516" spans="1:9" x14ac:dyDescent="0.2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 s="1">
        <f t="shared" si="108"/>
        <v>941.91</v>
      </c>
      <c r="H3516" s="1" t="str">
        <f>_xlfn.XLOOKUP(C3516,Product!A:A,Product!B:B,"not found",0)</f>
        <v>Sun Bicycles Drifter 7 - 2017</v>
      </c>
      <c r="I3516" s="1">
        <f t="shared" si="109"/>
        <v>941.91</v>
      </c>
    </row>
    <row r="3517" spans="1:9" x14ac:dyDescent="0.2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 s="1">
        <f t="shared" si="108"/>
        <v>5299.8899999999994</v>
      </c>
      <c r="H3517" s="1" t="str">
        <f>_xlfn.XLOOKUP(C3517,Product!A:A,Product!B:B,"not found",0)</f>
        <v>Trek Fuel EX 9.8 27.5 Plus - 2017</v>
      </c>
      <c r="I3517" s="1">
        <f t="shared" si="109"/>
        <v>5299.8899999999994</v>
      </c>
    </row>
    <row r="3518" spans="1:9" x14ac:dyDescent="0.2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 s="1">
        <f t="shared" si="108"/>
        <v>749.94</v>
      </c>
      <c r="H3518" s="1" t="str">
        <f>_xlfn.XLOOKUP(C3518,Product!A:A,Product!B:B,"not found",0)</f>
        <v>Sun Bicycles Brickell Tandem 7 - 2017</v>
      </c>
      <c r="I3518" s="1">
        <f t="shared" si="109"/>
        <v>749.94</v>
      </c>
    </row>
    <row r="3519" spans="1:9" x14ac:dyDescent="0.2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 s="1">
        <f t="shared" si="108"/>
        <v>899.93000000000006</v>
      </c>
      <c r="H3519" s="1" t="str">
        <f>_xlfn.XLOOKUP(C3519,Product!A:A,Product!B:B,"not found",0)</f>
        <v>Sun Bicycles Cruz 3 - 2017</v>
      </c>
      <c r="I3519" s="1">
        <f t="shared" si="109"/>
        <v>899.93000000000006</v>
      </c>
    </row>
    <row r="3520" spans="1:9" x14ac:dyDescent="0.2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 s="1">
        <f t="shared" si="108"/>
        <v>469.92</v>
      </c>
      <c r="H3520" s="1" t="str">
        <f>_xlfn.XLOOKUP(C3520,Product!A:A,Product!B:B,"not found",0)</f>
        <v>Trek Farley Alloy Frameset - 2017</v>
      </c>
      <c r="I3520" s="1">
        <f t="shared" si="109"/>
        <v>469.92</v>
      </c>
    </row>
    <row r="3521" spans="1:9" x14ac:dyDescent="0.2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 s="1">
        <f t="shared" si="108"/>
        <v>979.93000000000006</v>
      </c>
      <c r="H3521" s="1" t="str">
        <f>_xlfn.XLOOKUP(C3521,Product!A:A,Product!B:B,"not found",0)</f>
        <v>Electra Townie Original 7D - 2017</v>
      </c>
      <c r="I3521" s="1">
        <f t="shared" si="109"/>
        <v>979.93000000000006</v>
      </c>
    </row>
    <row r="3522" spans="1:9" x14ac:dyDescent="0.2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 s="1">
        <f t="shared" si="108"/>
        <v>857.93</v>
      </c>
      <c r="H3522" s="1" t="str">
        <f>_xlfn.XLOOKUP(C3522,Product!A:A,Product!B:B,"not found",0)</f>
        <v>Pure Cycles Vine 8-Speed - 2016</v>
      </c>
      <c r="I3522" s="1">
        <f t="shared" si="109"/>
        <v>857.93</v>
      </c>
    </row>
    <row r="3523" spans="1:9" x14ac:dyDescent="0.2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 s="1">
        <f t="shared" ref="G3523:G3586" si="110">(E3523*D3523)-F3523</f>
        <v>6999.8799999999992</v>
      </c>
      <c r="H3523" s="1" t="str">
        <f>_xlfn.XLOOKUP(C3523,Product!A:A,Product!B:B,"not found",0)</f>
        <v>Trek Boone 7 - 2017</v>
      </c>
      <c r="I3523" s="1">
        <f t="shared" ref="I3523:I3586" si="111">(D3523*E3523)-F3523</f>
        <v>6999.8799999999992</v>
      </c>
    </row>
    <row r="3524" spans="1:9" x14ac:dyDescent="0.2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 s="1">
        <f t="shared" si="110"/>
        <v>9999.7799999999988</v>
      </c>
      <c r="H3524" s="1" t="str">
        <f>_xlfn.XLOOKUP(C3524,Product!A:A,Product!B:B,"not found",0)</f>
        <v>Trek Fuel EX 9.8 29 - 2017</v>
      </c>
      <c r="I3524" s="1">
        <f t="shared" si="111"/>
        <v>9999.7799999999988</v>
      </c>
    </row>
    <row r="3525" spans="1:9" x14ac:dyDescent="0.2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 s="1">
        <f t="shared" si="110"/>
        <v>10599.88</v>
      </c>
      <c r="H3525" s="1" t="str">
        <f>_xlfn.XLOOKUP(C3525,Product!A:A,Product!B:B,"not found",0)</f>
        <v>Trek Remedy 9.8 - 2017</v>
      </c>
      <c r="I3525" s="1">
        <f t="shared" si="111"/>
        <v>10599.88</v>
      </c>
    </row>
    <row r="3526" spans="1:9" x14ac:dyDescent="0.2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 s="1">
        <f t="shared" si="110"/>
        <v>3499.79</v>
      </c>
      <c r="H3526" s="1" t="str">
        <f>_xlfn.XLOOKUP(C3526,Product!A:A,Product!B:B,"not found",0)</f>
        <v>Trek Domane SL 6 - 2017</v>
      </c>
      <c r="I3526" s="1">
        <f t="shared" si="111"/>
        <v>3499.79</v>
      </c>
    </row>
    <row r="3527" spans="1:9" x14ac:dyDescent="0.2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 s="1">
        <f t="shared" si="110"/>
        <v>659.78</v>
      </c>
      <c r="H3527" s="1" t="str">
        <f>_xlfn.XLOOKUP(C3527,Product!A:A,Product!B:B,"not found",0)</f>
        <v>Haro Downtown 16 - 2017</v>
      </c>
      <c r="I3527" s="1">
        <f t="shared" si="111"/>
        <v>659.78</v>
      </c>
    </row>
    <row r="3528" spans="1:9" x14ac:dyDescent="0.2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 s="1">
        <f t="shared" si="110"/>
        <v>489.94</v>
      </c>
      <c r="H3528" s="1" t="str">
        <f>_xlfn.XLOOKUP(C3528,Product!A:A,Product!B:B,"not found",0)</f>
        <v>Electra Townie 3i EQ (20-inch) - Boys' - 2017</v>
      </c>
      <c r="I3528" s="1">
        <f t="shared" si="111"/>
        <v>489.94</v>
      </c>
    </row>
    <row r="3529" spans="1:9" x14ac:dyDescent="0.2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 s="1">
        <f t="shared" si="110"/>
        <v>2199.9299999999998</v>
      </c>
      <c r="H3529" s="1" t="str">
        <f>_xlfn.XLOOKUP(C3529,Product!A:A,Product!B:B,"not found",0)</f>
        <v>Electra Amsterdam Fashion 7i Ladies' - 2017</v>
      </c>
      <c r="I3529" s="1">
        <f t="shared" si="111"/>
        <v>2199.9299999999998</v>
      </c>
    </row>
    <row r="3530" spans="1:9" x14ac:dyDescent="0.2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 s="1">
        <f t="shared" si="110"/>
        <v>4599.8799999999992</v>
      </c>
      <c r="H3530" s="1" t="str">
        <f>_xlfn.XLOOKUP(C3530,Product!A:A,Product!B:B,"not found",0)</f>
        <v>Trek Fuel EX 5 27.5 Plus - 2017</v>
      </c>
      <c r="I3530" s="1">
        <f t="shared" si="111"/>
        <v>4599.8799999999992</v>
      </c>
    </row>
    <row r="3531" spans="1:9" x14ac:dyDescent="0.2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 s="1">
        <f t="shared" si="110"/>
        <v>1099.8800000000001</v>
      </c>
      <c r="H3531" s="1" t="str">
        <f>_xlfn.XLOOKUP(C3531,Product!A:A,Product!B:B,"not found",0)</f>
        <v>Haro Flightline Two 26 Plus - 2017</v>
      </c>
      <c r="I3531" s="1">
        <f t="shared" si="111"/>
        <v>1099.8800000000001</v>
      </c>
    </row>
    <row r="3532" spans="1:9" x14ac:dyDescent="0.2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 s="1">
        <f t="shared" si="110"/>
        <v>699.91</v>
      </c>
      <c r="H3532" s="1" t="str">
        <f>_xlfn.XLOOKUP(C3532,Product!A:A,Product!B:B,"not found",0)</f>
        <v>Electra Savannah 3i (20-inch) - Girl's - 2017</v>
      </c>
      <c r="I3532" s="1">
        <f t="shared" si="111"/>
        <v>699.91</v>
      </c>
    </row>
    <row r="3533" spans="1:9" x14ac:dyDescent="0.2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 s="1">
        <f t="shared" si="110"/>
        <v>349.79</v>
      </c>
      <c r="H3533" s="1" t="str">
        <f>_xlfn.XLOOKUP(C3533,Product!A:A,Product!B:B,"not found",0)</f>
        <v>Electra Savannah 3i (20-inch) - Girl's - 2017</v>
      </c>
      <c r="I3533" s="1">
        <f t="shared" si="111"/>
        <v>349.79</v>
      </c>
    </row>
    <row r="3534" spans="1:9" x14ac:dyDescent="0.2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 s="1">
        <f t="shared" si="110"/>
        <v>551.94000000000005</v>
      </c>
      <c r="H3534" s="1" t="str">
        <f>_xlfn.XLOOKUP(C3534,Product!A:A,Product!B:B,"not found",0)</f>
        <v>Sun Bicycles Streamway 3 - 2017</v>
      </c>
      <c r="I3534" s="1">
        <f t="shared" si="111"/>
        <v>551.94000000000005</v>
      </c>
    </row>
    <row r="3535" spans="1:9" x14ac:dyDescent="0.2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 s="1">
        <f t="shared" si="110"/>
        <v>3499.9199999999996</v>
      </c>
      <c r="H3535" s="1" t="str">
        <f>_xlfn.XLOOKUP(C3535,Product!A:A,Product!B:B,"not found",0)</f>
        <v>Trek Boone 7 - 2017</v>
      </c>
      <c r="I3535" s="1">
        <f t="shared" si="111"/>
        <v>3499.9199999999996</v>
      </c>
    </row>
    <row r="3536" spans="1:9" x14ac:dyDescent="0.2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 s="1">
        <f t="shared" si="110"/>
        <v>6499.8899999999994</v>
      </c>
      <c r="H3536" s="1" t="str">
        <f>_xlfn.XLOOKUP(C3536,Product!A:A,Product!B:B,"not found",0)</f>
        <v>Trek Silque SLR 8 Women's - 2017</v>
      </c>
      <c r="I3536" s="1">
        <f t="shared" si="111"/>
        <v>6499.8899999999994</v>
      </c>
    </row>
    <row r="3537" spans="1:9" x14ac:dyDescent="0.2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 s="1">
        <f t="shared" si="110"/>
        <v>449.94</v>
      </c>
      <c r="H3537" s="1" t="str">
        <f>_xlfn.XLOOKUP(C3537,Product!A:A,Product!B:B,"not found",0)</f>
        <v>Sun Bicycles Cruz 3 - Women's - 2017</v>
      </c>
      <c r="I3537" s="1">
        <f t="shared" si="111"/>
        <v>449.94</v>
      </c>
    </row>
    <row r="3538" spans="1:9" x14ac:dyDescent="0.2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 s="1">
        <f t="shared" si="110"/>
        <v>469.79</v>
      </c>
      <c r="H3538" s="1" t="str">
        <f>_xlfn.XLOOKUP(C3538,Product!A:A,Product!B:B,"not found",0)</f>
        <v>Trek Farley Alloy Frameset - 2017</v>
      </c>
      <c r="I3538" s="1">
        <f t="shared" si="111"/>
        <v>469.79</v>
      </c>
    </row>
    <row r="3539" spans="1:9" x14ac:dyDescent="0.2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 s="1">
        <f t="shared" si="110"/>
        <v>1099.8900000000001</v>
      </c>
      <c r="H3539" s="1" t="str">
        <f>_xlfn.XLOOKUP(C3539,Product!A:A,Product!B:B,"not found",0)</f>
        <v>Electra Amsterdam Fashion 7i Ladies' - 2017</v>
      </c>
      <c r="I3539" s="1">
        <f t="shared" si="111"/>
        <v>1099.8900000000001</v>
      </c>
    </row>
    <row r="3540" spans="1:9" x14ac:dyDescent="0.2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 s="1">
        <f t="shared" si="110"/>
        <v>5199.8799999999992</v>
      </c>
      <c r="H3540" s="1" t="str">
        <f>_xlfn.XLOOKUP(C3540,Product!A:A,Product!B:B,"not found",0)</f>
        <v>Trek Domane S 5 Disc - 2017</v>
      </c>
      <c r="I3540" s="1">
        <f t="shared" si="111"/>
        <v>5199.8799999999992</v>
      </c>
    </row>
    <row r="3541" spans="1:9" x14ac:dyDescent="0.2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 s="1">
        <f t="shared" si="110"/>
        <v>939.88</v>
      </c>
      <c r="H3541" s="1" t="str">
        <f>_xlfn.XLOOKUP(C3541,Product!A:A,Product!B:B,"not found",0)</f>
        <v>Surly Ice Cream Truck Frameset - 2016</v>
      </c>
      <c r="I3541" s="1">
        <f t="shared" si="111"/>
        <v>939.88</v>
      </c>
    </row>
    <row r="3542" spans="1:9" x14ac:dyDescent="0.2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 s="1">
        <f t="shared" si="110"/>
        <v>1599.93</v>
      </c>
      <c r="H3542" s="1" t="str">
        <f>_xlfn.XLOOKUP(C3542,Product!A:A,Product!B:B,"not found",0)</f>
        <v>Electra Glam Punk 3i Ladies' - 2017</v>
      </c>
      <c r="I3542" s="1">
        <f t="shared" si="111"/>
        <v>1599.93</v>
      </c>
    </row>
    <row r="3543" spans="1:9" x14ac:dyDescent="0.2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 s="1">
        <f t="shared" si="110"/>
        <v>339.79</v>
      </c>
      <c r="H3543" s="1" t="str">
        <f>_xlfn.XLOOKUP(C3543,Product!A:A,Product!B:B,"not found",0)</f>
        <v>Electra Townie 7D (20-inch) - Boys' - 2017</v>
      </c>
      <c r="I3543" s="1">
        <f t="shared" si="111"/>
        <v>339.79</v>
      </c>
    </row>
    <row r="3544" spans="1:9" x14ac:dyDescent="0.2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 s="1">
        <f t="shared" si="110"/>
        <v>3361.91</v>
      </c>
      <c r="H3544" s="1" t="str">
        <f>_xlfn.XLOOKUP(C3544,Product!A:A,Product!B:B,"not found",0)</f>
        <v>Surly Straggler 650b - 2016</v>
      </c>
      <c r="I3544" s="1">
        <f t="shared" si="111"/>
        <v>3361.91</v>
      </c>
    </row>
    <row r="3545" spans="1:9" x14ac:dyDescent="0.2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 s="1">
        <f t="shared" si="110"/>
        <v>6499.92</v>
      </c>
      <c r="H3545" s="1" t="str">
        <f>_xlfn.XLOOKUP(C3545,Product!A:A,Product!B:B,"not found",0)</f>
        <v>Trek Silque SLR 8 Women's - 2017</v>
      </c>
      <c r="I3545" s="1">
        <f t="shared" si="111"/>
        <v>6499.92</v>
      </c>
    </row>
    <row r="3546" spans="1:9" x14ac:dyDescent="0.2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 s="1">
        <f t="shared" si="110"/>
        <v>2299.89</v>
      </c>
      <c r="H3546" s="1" t="str">
        <f>_xlfn.XLOOKUP(C3546,Product!A:A,Product!B:B,"not found",0)</f>
        <v>Trek Fuel EX 5 27.5 Plus - 2017</v>
      </c>
      <c r="I3546" s="1">
        <f t="shared" si="111"/>
        <v>2299.89</v>
      </c>
    </row>
    <row r="3547" spans="1:9" x14ac:dyDescent="0.2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 s="1">
        <f t="shared" si="110"/>
        <v>419.78000000000003</v>
      </c>
      <c r="H3547" s="1" t="str">
        <f>_xlfn.XLOOKUP(C3547,Product!A:A,Product!B:B,"not found",0)</f>
        <v>Trek Precaliber 16 Girls - 2017</v>
      </c>
      <c r="I3547" s="1">
        <f t="shared" si="111"/>
        <v>419.78000000000003</v>
      </c>
    </row>
    <row r="3548" spans="1:9" x14ac:dyDescent="0.2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 s="1">
        <f t="shared" si="110"/>
        <v>539.91999999999996</v>
      </c>
      <c r="H3548" s="1" t="str">
        <f>_xlfn.XLOOKUP(C3548,Product!A:A,Product!B:B,"not found",0)</f>
        <v>Haro SR 1.1 - 2017</v>
      </c>
      <c r="I3548" s="1">
        <f t="shared" si="111"/>
        <v>539.91999999999996</v>
      </c>
    </row>
    <row r="3549" spans="1:9" x14ac:dyDescent="0.2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 s="1">
        <f t="shared" si="110"/>
        <v>599.94000000000005</v>
      </c>
      <c r="H3549" s="1" t="str">
        <f>_xlfn.XLOOKUP(C3549,Product!A:A,Product!B:B,"not found",0)</f>
        <v>Electra Townie Original 7D EQ - 2016</v>
      </c>
      <c r="I3549" s="1">
        <f t="shared" si="111"/>
        <v>599.94000000000005</v>
      </c>
    </row>
    <row r="3550" spans="1:9" x14ac:dyDescent="0.2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 s="1">
        <f t="shared" si="110"/>
        <v>1799.92</v>
      </c>
      <c r="H3550" s="1" t="str">
        <f>_xlfn.XLOOKUP(C3550,Product!A:A,Product!B:B,"not found",0)</f>
        <v>Trek Remedy 29 Carbon Frameset - 2016</v>
      </c>
      <c r="I3550" s="1">
        <f t="shared" si="111"/>
        <v>1799.92</v>
      </c>
    </row>
    <row r="3551" spans="1:9" x14ac:dyDescent="0.2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 s="1">
        <f t="shared" si="110"/>
        <v>4599.78</v>
      </c>
      <c r="H3551" s="1" t="str">
        <f>_xlfn.XLOOKUP(C3551,Product!A:A,Product!B:B,"not found",0)</f>
        <v>Trek Fuel EX 5 27.5 Plus - 2017</v>
      </c>
      <c r="I3551" s="1">
        <f t="shared" si="111"/>
        <v>4599.78</v>
      </c>
    </row>
    <row r="3552" spans="1:9" x14ac:dyDescent="0.2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 s="1">
        <f t="shared" si="110"/>
        <v>209.79000000000002</v>
      </c>
      <c r="H3552" s="1" t="str">
        <f>_xlfn.XLOOKUP(C3552,Product!A:A,Product!B:B,"not found",0)</f>
        <v>Haro Shredder 20 - 2017</v>
      </c>
      <c r="I3552" s="1">
        <f t="shared" si="111"/>
        <v>209.79000000000002</v>
      </c>
    </row>
    <row r="3553" spans="1:9" x14ac:dyDescent="0.2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 s="1">
        <f t="shared" si="110"/>
        <v>5399.78</v>
      </c>
      <c r="H3553" s="1" t="str">
        <f>_xlfn.XLOOKUP(C3553,Product!A:A,Product!B:B,"not found",0)</f>
        <v>Trek Domane S 6 - 2017</v>
      </c>
      <c r="I3553" s="1">
        <f t="shared" si="111"/>
        <v>5399.78</v>
      </c>
    </row>
    <row r="3554" spans="1:9" x14ac:dyDescent="0.2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 s="1">
        <f t="shared" si="110"/>
        <v>1199.93</v>
      </c>
      <c r="H3554" s="1" t="str">
        <f>_xlfn.XLOOKUP(C3554,Product!A:A,Product!B:B,"not found",0)</f>
        <v>Electra Townie Original 7D EQ - Women's - 2016</v>
      </c>
      <c r="I3554" s="1">
        <f t="shared" si="111"/>
        <v>1199.93</v>
      </c>
    </row>
    <row r="3555" spans="1:9" x14ac:dyDescent="0.2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 s="1">
        <f t="shared" si="110"/>
        <v>1665.91</v>
      </c>
      <c r="H3555" s="1" t="str">
        <f>_xlfn.XLOOKUP(C3555,Product!A:A,Product!B:B,"not found",0)</f>
        <v>Surly Troll Frameset - 2017</v>
      </c>
      <c r="I3555" s="1">
        <f t="shared" si="111"/>
        <v>1665.91</v>
      </c>
    </row>
    <row r="3556" spans="1:9" x14ac:dyDescent="0.2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 s="1">
        <f t="shared" si="110"/>
        <v>9999.8799999999992</v>
      </c>
      <c r="H3556" s="1" t="str">
        <f>_xlfn.XLOOKUP(C3556,Product!A:A,Product!B:B,"not found",0)</f>
        <v>Trek Powerfly 8 FS Plus - 2017</v>
      </c>
      <c r="I3556" s="1">
        <f t="shared" si="111"/>
        <v>9999.8799999999992</v>
      </c>
    </row>
    <row r="3557" spans="1:9" x14ac:dyDescent="0.2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 s="1">
        <f t="shared" si="110"/>
        <v>939.88</v>
      </c>
      <c r="H3557" s="1" t="str">
        <f>_xlfn.XLOOKUP(C3557,Product!A:A,Product!B:B,"not found",0)</f>
        <v>Trek Farley Alloy Frameset - 2017</v>
      </c>
      <c r="I3557" s="1">
        <f t="shared" si="111"/>
        <v>939.88</v>
      </c>
    </row>
    <row r="3558" spans="1:9" x14ac:dyDescent="0.2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 s="1">
        <f t="shared" si="110"/>
        <v>1099.9100000000001</v>
      </c>
      <c r="H3558" s="1" t="str">
        <f>_xlfn.XLOOKUP(C3558,Product!A:A,Product!B:B,"not found",0)</f>
        <v>Haro Flightline Two 26 Plus - 2017</v>
      </c>
      <c r="I3558" s="1">
        <f t="shared" si="111"/>
        <v>1099.9100000000001</v>
      </c>
    </row>
    <row r="3559" spans="1:9" x14ac:dyDescent="0.2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 s="1">
        <f t="shared" si="110"/>
        <v>1199.93</v>
      </c>
      <c r="H3559" s="1" t="str">
        <f>_xlfn.XLOOKUP(C3559,Product!A:A,Product!B:B,"not found",0)</f>
        <v>Electra Cruiser Lux Fat Tire 1 Ladies - 2017</v>
      </c>
      <c r="I3559" s="1">
        <f t="shared" si="111"/>
        <v>1199.93</v>
      </c>
    </row>
    <row r="3560" spans="1:9" x14ac:dyDescent="0.2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 s="1">
        <f t="shared" si="110"/>
        <v>659.92</v>
      </c>
      <c r="H3560" s="1" t="str">
        <f>_xlfn.XLOOKUP(C3560,Product!A:A,Product!B:B,"not found",0)</f>
        <v>Electra Amsterdam Original 3i - 2015/2017</v>
      </c>
      <c r="I3560" s="1">
        <f t="shared" si="111"/>
        <v>659.92</v>
      </c>
    </row>
    <row r="3561" spans="1:9" x14ac:dyDescent="0.2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 s="1">
        <f t="shared" si="110"/>
        <v>5799.91</v>
      </c>
      <c r="H3561" s="1" t="str">
        <f>_xlfn.XLOOKUP(C3561,Product!A:A,Product!B:B,"not found",0)</f>
        <v>Trek Fuel EX 8 29 - 2016</v>
      </c>
      <c r="I3561" s="1">
        <f t="shared" si="111"/>
        <v>5799.91</v>
      </c>
    </row>
    <row r="3562" spans="1:9" x14ac:dyDescent="0.2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 s="1">
        <f t="shared" si="110"/>
        <v>941.93000000000006</v>
      </c>
      <c r="H3562" s="1" t="str">
        <f>_xlfn.XLOOKUP(C3562,Product!A:A,Product!B:B,"not found",0)</f>
        <v>Sun Bicycles Drifter 7 - 2017</v>
      </c>
      <c r="I3562" s="1">
        <f t="shared" si="111"/>
        <v>941.93000000000006</v>
      </c>
    </row>
    <row r="3563" spans="1:9" x14ac:dyDescent="0.2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 s="1">
        <f t="shared" si="110"/>
        <v>939.78</v>
      </c>
      <c r="H3563" s="1" t="str">
        <f>_xlfn.XLOOKUP(C3563,Product!A:A,Product!B:B,"not found",0)</f>
        <v>Surly Ice Cream Truck Frameset - 2016</v>
      </c>
      <c r="I3563" s="1">
        <f t="shared" si="111"/>
        <v>939.78</v>
      </c>
    </row>
    <row r="3564" spans="1:9" x14ac:dyDescent="0.2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 s="1">
        <f t="shared" si="110"/>
        <v>379.78000000000003</v>
      </c>
      <c r="H3564" s="1" t="str">
        <f>_xlfn.XLOOKUP(C3564,Product!A:A,Product!B:B,"not found",0)</f>
        <v>Trek Precaliber 12 Boys - 2017</v>
      </c>
      <c r="I3564" s="1">
        <f t="shared" si="111"/>
        <v>379.78000000000003</v>
      </c>
    </row>
    <row r="3565" spans="1:9" x14ac:dyDescent="0.2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 s="1">
        <f t="shared" si="110"/>
        <v>9999.8799999999992</v>
      </c>
      <c r="H3565" s="1" t="str">
        <f>_xlfn.XLOOKUP(C3565,Product!A:A,Product!B:B,"not found",0)</f>
        <v>Trek Powerfly 8 FS Plus - 2017</v>
      </c>
      <c r="I3565" s="1">
        <f t="shared" si="111"/>
        <v>9999.8799999999992</v>
      </c>
    </row>
    <row r="3566" spans="1:9" x14ac:dyDescent="0.2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 s="1">
        <f t="shared" si="110"/>
        <v>2699.79</v>
      </c>
      <c r="H3566" s="1" t="str">
        <f>_xlfn.XLOOKUP(C3566,Product!A:A,Product!B:B,"not found",0)</f>
        <v>Trek Domane S 6 - 2017</v>
      </c>
      <c r="I3566" s="1">
        <f t="shared" si="111"/>
        <v>2699.79</v>
      </c>
    </row>
    <row r="3567" spans="1:9" x14ac:dyDescent="0.2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 s="1">
        <f t="shared" si="110"/>
        <v>10999.91</v>
      </c>
      <c r="H3567" s="1" t="str">
        <f>_xlfn.XLOOKUP(C3567,Product!A:A,Product!B:B,"not found",0)</f>
        <v>Trek Domane SLR 6 Disc - 2017</v>
      </c>
      <c r="I3567" s="1">
        <f t="shared" si="111"/>
        <v>10999.91</v>
      </c>
    </row>
    <row r="3568" spans="1:9" x14ac:dyDescent="0.2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 s="1">
        <f t="shared" si="110"/>
        <v>833.91</v>
      </c>
      <c r="H3568" s="1" t="str">
        <f>_xlfn.XLOOKUP(C3568,Product!A:A,Product!B:B,"not found",0)</f>
        <v>Sun Bicycles Atlas X-Type - 2017</v>
      </c>
      <c r="I3568" s="1">
        <f t="shared" si="111"/>
        <v>833.91</v>
      </c>
    </row>
    <row r="3569" spans="1:9" x14ac:dyDescent="0.2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 s="1">
        <f t="shared" si="110"/>
        <v>3999.89</v>
      </c>
      <c r="H3569" s="1" t="str">
        <f>_xlfn.XLOOKUP(C3569,Product!A:A,Product!B:B,"not found",0)</f>
        <v>Trek Slash 8 27.5 - 2016</v>
      </c>
      <c r="I3569" s="1">
        <f t="shared" si="111"/>
        <v>3999.89</v>
      </c>
    </row>
    <row r="3570" spans="1:9" x14ac:dyDescent="0.2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 s="1">
        <f t="shared" si="110"/>
        <v>1559.92</v>
      </c>
      <c r="H3570" s="1" t="str">
        <f>_xlfn.XLOOKUP(C3570,Product!A:A,Product!B:B,"not found",0)</f>
        <v>Sun Bicycles ElectroLite - 2017</v>
      </c>
      <c r="I3570" s="1">
        <f t="shared" si="111"/>
        <v>1559.92</v>
      </c>
    </row>
    <row r="3571" spans="1:9" x14ac:dyDescent="0.2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 s="1">
        <f t="shared" si="110"/>
        <v>939.93000000000006</v>
      </c>
      <c r="H3571" s="1" t="str">
        <f>_xlfn.XLOOKUP(C3571,Product!A:A,Product!B:B,"not found",0)</f>
        <v>Trek Farley Alloy Frameset - 2017</v>
      </c>
      <c r="I3571" s="1">
        <f t="shared" si="111"/>
        <v>939.93000000000006</v>
      </c>
    </row>
    <row r="3572" spans="1:9" x14ac:dyDescent="0.2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 s="1">
        <f t="shared" si="110"/>
        <v>349.89</v>
      </c>
      <c r="H3572" s="1" t="str">
        <f>_xlfn.XLOOKUP(C3572,Product!A:A,Product!B:B,"not found",0)</f>
        <v>Trek Precaliber 24 (21-Speed) - Girls - 2017</v>
      </c>
      <c r="I3572" s="1">
        <f t="shared" si="111"/>
        <v>349.89</v>
      </c>
    </row>
    <row r="3573" spans="1:9" x14ac:dyDescent="0.2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 s="1">
        <f t="shared" si="110"/>
        <v>299.89</v>
      </c>
      <c r="H3573" s="1" t="str">
        <f>_xlfn.XLOOKUP(C3573,Product!A:A,Product!B:B,"not found",0)</f>
        <v>Electra Girl's Hawaii 1 (20-inch) - 2015/2016</v>
      </c>
      <c r="I3573" s="1">
        <f t="shared" si="111"/>
        <v>299.89</v>
      </c>
    </row>
    <row r="3574" spans="1:9" x14ac:dyDescent="0.2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 s="1">
        <f t="shared" si="110"/>
        <v>379.88</v>
      </c>
      <c r="H3574" s="1" t="str">
        <f>_xlfn.XLOOKUP(C3574,Product!A:A,Product!B:B,"not found",0)</f>
        <v>Trek Precaliber 12 Boys - 2017</v>
      </c>
      <c r="I3574" s="1">
        <f t="shared" si="111"/>
        <v>379.88</v>
      </c>
    </row>
    <row r="3575" spans="1:9" x14ac:dyDescent="0.2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 s="1">
        <f t="shared" si="110"/>
        <v>599.78</v>
      </c>
      <c r="H3575" s="1" t="str">
        <f>_xlfn.XLOOKUP(C3575,Product!A:A,Product!B:B,"not found",0)</f>
        <v>Electra Girl's Hawaii 1 16" - 2017</v>
      </c>
      <c r="I3575" s="1">
        <f t="shared" si="111"/>
        <v>599.78</v>
      </c>
    </row>
    <row r="3576" spans="1:9" x14ac:dyDescent="0.2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 s="1">
        <f t="shared" si="110"/>
        <v>5399.91</v>
      </c>
      <c r="H3576" s="1" t="str">
        <f>_xlfn.XLOOKUP(C3576,Product!A:A,Product!B:B,"not found",0)</f>
        <v>Trek Domane S 6 - 2017</v>
      </c>
      <c r="I3576" s="1">
        <f t="shared" si="111"/>
        <v>5399.91</v>
      </c>
    </row>
    <row r="3577" spans="1:9" x14ac:dyDescent="0.2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 s="1">
        <f t="shared" si="110"/>
        <v>499.92</v>
      </c>
      <c r="H3577" s="1" t="str">
        <f>_xlfn.XLOOKUP(C3577,Product!A:A,Product!B:B,"not found",0)</f>
        <v>Electra Townie Original 7D - 2015/2016</v>
      </c>
      <c r="I3577" s="1">
        <f t="shared" si="111"/>
        <v>499.92</v>
      </c>
    </row>
    <row r="3578" spans="1:9" x14ac:dyDescent="0.2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 s="1">
        <f t="shared" si="110"/>
        <v>4999.8899999999994</v>
      </c>
      <c r="H3578" s="1" t="str">
        <f>_xlfn.XLOOKUP(C3578,Product!A:A,Product!B:B,"not found",0)</f>
        <v>Trek Fuel EX 9.8 29 - 2017</v>
      </c>
      <c r="I3578" s="1">
        <f t="shared" si="111"/>
        <v>4999.8899999999994</v>
      </c>
    </row>
    <row r="3579" spans="1:9" x14ac:dyDescent="0.2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 s="1">
        <f t="shared" si="110"/>
        <v>269.89</v>
      </c>
      <c r="H3579" s="1" t="str">
        <f>_xlfn.XLOOKUP(C3579,Product!A:A,Product!B:B,"not found",0)</f>
        <v>Electra Girl's Hawaii 1 (16-inch) - 2015/2016</v>
      </c>
      <c r="I3579" s="1">
        <f t="shared" si="111"/>
        <v>269.89</v>
      </c>
    </row>
    <row r="3580" spans="1:9" x14ac:dyDescent="0.2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 s="1">
        <f t="shared" si="110"/>
        <v>599.78</v>
      </c>
      <c r="H3580" s="1" t="str">
        <f>_xlfn.XLOOKUP(C3580,Product!A:A,Product!B:B,"not found",0)</f>
        <v>Electra Sugar Skulls 1 (20-inch) - Girl's - 2017</v>
      </c>
      <c r="I3580" s="1">
        <f t="shared" si="111"/>
        <v>599.78</v>
      </c>
    </row>
    <row r="3581" spans="1:9" x14ac:dyDescent="0.2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 s="1">
        <f t="shared" si="110"/>
        <v>339.89</v>
      </c>
      <c r="H3581" s="1" t="str">
        <f>_xlfn.XLOOKUP(C3581,Product!A:A,Product!B:B,"not found",0)</f>
        <v>Electra Townie 7D (20-inch) - Boys' - 2017</v>
      </c>
      <c r="I3581" s="1">
        <f t="shared" si="111"/>
        <v>339.89</v>
      </c>
    </row>
    <row r="3582" spans="1:9" x14ac:dyDescent="0.2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 s="1">
        <f t="shared" si="110"/>
        <v>1059.78</v>
      </c>
      <c r="H3582" s="1" t="str">
        <f>_xlfn.XLOOKUP(C3582,Product!A:A,Product!B:B,"not found",0)</f>
        <v>Electra Moto 1 - 2016</v>
      </c>
      <c r="I3582" s="1">
        <f t="shared" si="111"/>
        <v>1059.78</v>
      </c>
    </row>
    <row r="3583" spans="1:9" x14ac:dyDescent="0.2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 s="1">
        <f t="shared" si="110"/>
        <v>349.89</v>
      </c>
      <c r="H3583" s="1" t="str">
        <f>_xlfn.XLOOKUP(C3583,Product!A:A,Product!B:B,"not found",0)</f>
        <v>Trek Precaliber 24 (21-Speed) - Girls - 2017</v>
      </c>
      <c r="I3583" s="1">
        <f t="shared" si="111"/>
        <v>349.89</v>
      </c>
    </row>
    <row r="3584" spans="1:9" x14ac:dyDescent="0.2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 s="1">
        <f t="shared" si="110"/>
        <v>939.88</v>
      </c>
      <c r="H3584" s="1" t="str">
        <f>_xlfn.XLOOKUP(C3584,Product!A:A,Product!B:B,"not found",0)</f>
        <v>Trek Session DH 27.5 Carbon Frameset - 2017</v>
      </c>
      <c r="I3584" s="1">
        <f t="shared" si="111"/>
        <v>939.88</v>
      </c>
    </row>
    <row r="3585" spans="1:9" x14ac:dyDescent="0.2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 s="1">
        <f t="shared" si="110"/>
        <v>832.94</v>
      </c>
      <c r="H3585" s="1" t="str">
        <f>_xlfn.XLOOKUP(C3585,Product!A:A,Product!B:B,"not found",0)</f>
        <v>Surly Troll Frameset - 2017</v>
      </c>
      <c r="I3585" s="1">
        <f t="shared" si="111"/>
        <v>832.94</v>
      </c>
    </row>
    <row r="3586" spans="1:9" x14ac:dyDescent="0.2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 s="1">
        <f t="shared" si="110"/>
        <v>833.88</v>
      </c>
      <c r="H3586" s="1" t="str">
        <f>_xlfn.XLOOKUP(C3586,Product!A:A,Product!B:B,"not found",0)</f>
        <v>Sun Bicycles Cruz 7 - 2017</v>
      </c>
      <c r="I3586" s="1">
        <f t="shared" si="111"/>
        <v>833.88</v>
      </c>
    </row>
    <row r="3587" spans="1:9" x14ac:dyDescent="0.2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 s="1">
        <f t="shared" ref="G3587:G3650" si="112">(E3587*D3587)-F3587</f>
        <v>599.93000000000006</v>
      </c>
      <c r="H3587" s="1" t="str">
        <f>_xlfn.XLOOKUP(C3587,Product!A:A,Product!B:B,"not found",0)</f>
        <v>Electra Girl's Hawaii 1 (20-inch) - 2015/2016</v>
      </c>
      <c r="I3587" s="1">
        <f t="shared" ref="I3587:I3650" si="113">(D3587*E3587)-F3587</f>
        <v>599.93000000000006</v>
      </c>
    </row>
    <row r="3588" spans="1:9" x14ac:dyDescent="0.2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 s="1">
        <f t="shared" si="112"/>
        <v>1059.78</v>
      </c>
      <c r="H3588" s="1" t="str">
        <f>_xlfn.XLOOKUP(C3588,Product!A:A,Product!B:B,"not found",0)</f>
        <v>Electra Moto 1 - 2016</v>
      </c>
      <c r="I3588" s="1">
        <f t="shared" si="113"/>
        <v>1059.78</v>
      </c>
    </row>
    <row r="3589" spans="1:9" x14ac:dyDescent="0.2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 s="1">
        <f t="shared" si="112"/>
        <v>1599.93</v>
      </c>
      <c r="H3589" s="1" t="str">
        <f>_xlfn.XLOOKUP(C3589,Product!A:A,Product!B:B,"not found",0)</f>
        <v>Electra Glam Punk 3i Ladies' - 2017</v>
      </c>
      <c r="I3589" s="1">
        <f t="shared" si="113"/>
        <v>1599.93</v>
      </c>
    </row>
    <row r="3590" spans="1:9" x14ac:dyDescent="0.2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 s="1">
        <f t="shared" si="112"/>
        <v>1999.94</v>
      </c>
      <c r="H3590" s="1" t="str">
        <f>_xlfn.XLOOKUP(C3590,Product!A:A,Product!B:B,"not found",0)</f>
        <v>Trek Emonda S 5 - 2017</v>
      </c>
      <c r="I3590" s="1">
        <f t="shared" si="113"/>
        <v>1999.94</v>
      </c>
    </row>
    <row r="3591" spans="1:9" x14ac:dyDescent="0.2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 s="1">
        <f t="shared" si="112"/>
        <v>439.94</v>
      </c>
      <c r="H3591" s="1" t="str">
        <f>_xlfn.XLOOKUP(C3591,Product!A:A,Product!B:B,"not found",0)</f>
        <v>Electra Cruiser Lux 1 - 2017</v>
      </c>
      <c r="I3591" s="1">
        <f t="shared" si="113"/>
        <v>439.94</v>
      </c>
    </row>
    <row r="3592" spans="1:9" x14ac:dyDescent="0.2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 s="1">
        <f t="shared" si="112"/>
        <v>833.93000000000006</v>
      </c>
      <c r="H3592" s="1" t="str">
        <f>_xlfn.XLOOKUP(C3592,Product!A:A,Product!B:B,"not found",0)</f>
        <v>Sun Bicycles Atlas X-Type - 2017</v>
      </c>
      <c r="I3592" s="1">
        <f t="shared" si="113"/>
        <v>833.93000000000006</v>
      </c>
    </row>
    <row r="3593" spans="1:9" x14ac:dyDescent="0.2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 s="1">
        <f t="shared" si="112"/>
        <v>249.94</v>
      </c>
      <c r="H3593" s="1" t="str">
        <f>_xlfn.XLOOKUP(C3593,Product!A:A,Product!B:B,"not found",0)</f>
        <v>Haro Shredder Pro 20 - 2017</v>
      </c>
      <c r="I3593" s="1">
        <f t="shared" si="113"/>
        <v>249.94</v>
      </c>
    </row>
    <row r="3594" spans="1:9" x14ac:dyDescent="0.2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 s="1">
        <f t="shared" si="112"/>
        <v>999.92</v>
      </c>
      <c r="H3594" s="1" t="str">
        <f>_xlfn.XLOOKUP(C3594,Product!A:A,Product!B:B,"not found",0)</f>
        <v>Surly Big Dummy Frameset - 2017</v>
      </c>
      <c r="I3594" s="1">
        <f t="shared" si="113"/>
        <v>999.92</v>
      </c>
    </row>
    <row r="3595" spans="1:9" x14ac:dyDescent="0.2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 s="1">
        <f t="shared" si="112"/>
        <v>1548.93</v>
      </c>
      <c r="H3595" s="1" t="str">
        <f>_xlfn.XLOOKUP(C3595,Product!A:A,Product!B:B,"not found",0)</f>
        <v>Surly Straggler - 2016</v>
      </c>
      <c r="I3595" s="1">
        <f t="shared" si="113"/>
        <v>1548.93</v>
      </c>
    </row>
    <row r="3596" spans="1:9" x14ac:dyDescent="0.2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 s="1">
        <f t="shared" si="112"/>
        <v>659.79</v>
      </c>
      <c r="H3596" s="1" t="str">
        <f>_xlfn.XLOOKUP(C3596,Product!A:A,Product!B:B,"not found",0)</f>
        <v>Electra Amsterdam Original 3i - 2015/2017</v>
      </c>
      <c r="I3596" s="1">
        <f t="shared" si="113"/>
        <v>659.79</v>
      </c>
    </row>
    <row r="3597" spans="1:9" x14ac:dyDescent="0.2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 s="1">
        <f t="shared" si="112"/>
        <v>539.91999999999996</v>
      </c>
      <c r="H3597" s="1" t="str">
        <f>_xlfn.XLOOKUP(C3597,Product!A:A,Product!B:B,"not found",0)</f>
        <v>Haro SR 1.1 - 2017</v>
      </c>
      <c r="I3597" s="1">
        <f t="shared" si="113"/>
        <v>539.91999999999996</v>
      </c>
    </row>
    <row r="3598" spans="1:9" x14ac:dyDescent="0.2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 s="1">
        <f t="shared" si="112"/>
        <v>869.79</v>
      </c>
      <c r="H3598" s="1" t="str">
        <f>_xlfn.XLOOKUP(C3598,Product!A:A,Product!B:B,"not found",0)</f>
        <v>Haro SR 1.2 - 2017</v>
      </c>
      <c r="I3598" s="1">
        <f t="shared" si="113"/>
        <v>869.79</v>
      </c>
    </row>
    <row r="3599" spans="1:9" x14ac:dyDescent="0.2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 s="1">
        <f t="shared" si="112"/>
        <v>1099.9100000000001</v>
      </c>
      <c r="H3599" s="1" t="str">
        <f>_xlfn.XLOOKUP(C3599,Product!A:A,Product!B:B,"not found",0)</f>
        <v>Haro Flightline Two 26 Plus - 2017</v>
      </c>
      <c r="I3599" s="1">
        <f t="shared" si="113"/>
        <v>1099.9100000000001</v>
      </c>
    </row>
    <row r="3600" spans="1:9" x14ac:dyDescent="0.2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 s="1">
        <f t="shared" si="112"/>
        <v>469.92</v>
      </c>
      <c r="H3600" s="1" t="str">
        <f>_xlfn.XLOOKUP(C3600,Product!A:A,Product!B:B,"not found",0)</f>
        <v>Surly Wednesday Frameset - 2017</v>
      </c>
      <c r="I3600" s="1">
        <f t="shared" si="113"/>
        <v>469.92</v>
      </c>
    </row>
    <row r="3601" spans="1:9" x14ac:dyDescent="0.2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 s="1">
        <f t="shared" si="112"/>
        <v>759.88</v>
      </c>
      <c r="H3601" s="1" t="str">
        <f>_xlfn.XLOOKUP(C3601,Product!A:A,Product!B:B,"not found",0)</f>
        <v>Haro Flightline One ST - 2017</v>
      </c>
      <c r="I3601" s="1">
        <f t="shared" si="113"/>
        <v>759.88</v>
      </c>
    </row>
    <row r="3602" spans="1:9" x14ac:dyDescent="0.2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 s="1">
        <f t="shared" si="112"/>
        <v>269.89</v>
      </c>
      <c r="H3602" s="1" t="str">
        <f>_xlfn.XLOOKUP(C3602,Product!A:A,Product!B:B,"not found",0)</f>
        <v>Electra Cruiser 1 (24-Inch) - 2016</v>
      </c>
      <c r="I3602" s="1">
        <f t="shared" si="113"/>
        <v>269.89</v>
      </c>
    </row>
    <row r="3603" spans="1:9" x14ac:dyDescent="0.2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 s="1">
        <f t="shared" si="112"/>
        <v>1295.78</v>
      </c>
      <c r="H3603" s="1" t="str">
        <f>_xlfn.XLOOKUP(C3603,Product!A:A,Product!B:B,"not found",0)</f>
        <v>Sun Bicycles Biscayne Tandem CB - 2017</v>
      </c>
      <c r="I3603" s="1">
        <f t="shared" si="113"/>
        <v>1295.78</v>
      </c>
    </row>
    <row r="3604" spans="1:9" x14ac:dyDescent="0.2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 s="1">
        <f t="shared" si="112"/>
        <v>1409.94</v>
      </c>
      <c r="H3604" s="1" t="str">
        <f>_xlfn.XLOOKUP(C3604,Product!A:A,Product!B:B,"not found",0)</f>
        <v>Haro SR 1.3 - 2017</v>
      </c>
      <c r="I3604" s="1">
        <f t="shared" si="113"/>
        <v>1409.94</v>
      </c>
    </row>
    <row r="3605" spans="1:9" x14ac:dyDescent="0.2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 s="1">
        <f t="shared" si="112"/>
        <v>1739.91</v>
      </c>
      <c r="H3605" s="1" t="str">
        <f>_xlfn.XLOOKUP(C3605,Product!A:A,Product!B:B,"not found",0)</f>
        <v>Haro SR 1.2 - 2017</v>
      </c>
      <c r="I3605" s="1">
        <f t="shared" si="113"/>
        <v>1739.91</v>
      </c>
    </row>
    <row r="3606" spans="1:9" x14ac:dyDescent="0.2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 s="1">
        <f t="shared" si="112"/>
        <v>1059.8800000000001</v>
      </c>
      <c r="H3606" s="1" t="str">
        <f>_xlfn.XLOOKUP(C3606,Product!A:A,Product!B:B,"not found",0)</f>
        <v>Electra Moto 1 - 2016</v>
      </c>
      <c r="I3606" s="1">
        <f t="shared" si="113"/>
        <v>1059.8800000000001</v>
      </c>
    </row>
    <row r="3607" spans="1:9" x14ac:dyDescent="0.2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 s="1">
        <f t="shared" si="112"/>
        <v>4999.8799999999992</v>
      </c>
      <c r="H3607" s="1" t="str">
        <f>_xlfn.XLOOKUP(C3607,Product!A:A,Product!B:B,"not found",0)</f>
        <v>Surly Karate Monkey 27.5+ Frameset - 2017</v>
      </c>
      <c r="I3607" s="1">
        <f t="shared" si="113"/>
        <v>4999.8799999999992</v>
      </c>
    </row>
    <row r="3608" spans="1:9" x14ac:dyDescent="0.2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 s="1">
        <f t="shared" si="112"/>
        <v>599.94000000000005</v>
      </c>
      <c r="H3608" s="1" t="str">
        <f>_xlfn.XLOOKUP(C3608,Product!A:A,Product!B:B,"not found",0)</f>
        <v>Electra Townie Original 7D EQ - 2016</v>
      </c>
      <c r="I3608" s="1">
        <f t="shared" si="113"/>
        <v>599.94000000000005</v>
      </c>
    </row>
    <row r="3609" spans="1:9" x14ac:dyDescent="0.2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 s="1">
        <f t="shared" si="112"/>
        <v>499.93</v>
      </c>
      <c r="H3609" s="1" t="str">
        <f>_xlfn.XLOOKUP(C3609,Product!A:A,Product!B:B,"not found",0)</f>
        <v>Haro Shredder Pro 20 - 2017</v>
      </c>
      <c r="I3609" s="1">
        <f t="shared" si="113"/>
        <v>499.93</v>
      </c>
    </row>
    <row r="3610" spans="1:9" x14ac:dyDescent="0.2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 s="1">
        <f t="shared" si="112"/>
        <v>939.88</v>
      </c>
      <c r="H3610" s="1" t="str">
        <f>_xlfn.XLOOKUP(C3610,Product!A:A,Product!B:B,"not found",0)</f>
        <v>Surly Wednesday Frameset - 2017</v>
      </c>
      <c r="I3610" s="1">
        <f t="shared" si="113"/>
        <v>939.88</v>
      </c>
    </row>
    <row r="3611" spans="1:9" x14ac:dyDescent="0.2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 s="1">
        <f t="shared" si="112"/>
        <v>209.89000000000001</v>
      </c>
      <c r="H3611" s="1" t="str">
        <f>_xlfn.XLOOKUP(C3611,Product!A:A,Product!B:B,"not found",0)</f>
        <v>Haro Shredder 20 - 2017</v>
      </c>
      <c r="I3611" s="1">
        <f t="shared" si="113"/>
        <v>209.89000000000001</v>
      </c>
    </row>
    <row r="3612" spans="1:9" x14ac:dyDescent="0.2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 s="1">
        <f t="shared" si="112"/>
        <v>549.94000000000005</v>
      </c>
      <c r="H3612" s="1" t="str">
        <f>_xlfn.XLOOKUP(C3612,Product!A:A,Product!B:B,"not found",0)</f>
        <v>Electra Townie Original 21D - 2016</v>
      </c>
      <c r="I3612" s="1">
        <f t="shared" si="113"/>
        <v>549.94000000000005</v>
      </c>
    </row>
    <row r="3613" spans="1:9" x14ac:dyDescent="0.2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 s="1">
        <f t="shared" si="112"/>
        <v>3499.9399999999996</v>
      </c>
      <c r="H3613" s="1" t="str">
        <f>_xlfn.XLOOKUP(C3613,Product!A:A,Product!B:B,"not found",0)</f>
        <v>Trek Boone 7 - 2017</v>
      </c>
      <c r="I3613" s="1">
        <f t="shared" si="113"/>
        <v>3499.9399999999996</v>
      </c>
    </row>
    <row r="3614" spans="1:9" x14ac:dyDescent="0.2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 s="1">
        <f t="shared" si="112"/>
        <v>481.94</v>
      </c>
      <c r="H3614" s="1" t="str">
        <f>_xlfn.XLOOKUP(C3614,Product!A:A,Product!B:B,"not found",0)</f>
        <v>Sun Bicycles Streamway - 2017</v>
      </c>
      <c r="I3614" s="1">
        <f t="shared" si="113"/>
        <v>481.94</v>
      </c>
    </row>
    <row r="3615" spans="1:9" x14ac:dyDescent="0.2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 s="1">
        <f t="shared" si="112"/>
        <v>4999.79</v>
      </c>
      <c r="H3615" s="1" t="str">
        <f>_xlfn.XLOOKUP(C3615,Product!A:A,Product!B:B,"not found",0)</f>
        <v>Trek Powerfly 8 FS Plus - 2017</v>
      </c>
      <c r="I3615" s="1">
        <f t="shared" si="113"/>
        <v>4999.79</v>
      </c>
    </row>
    <row r="3616" spans="1:9" x14ac:dyDescent="0.2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 s="1">
        <f t="shared" si="112"/>
        <v>1295.93</v>
      </c>
      <c r="H3616" s="1" t="str">
        <f>_xlfn.XLOOKUP(C3616,Product!A:A,Product!B:B,"not found",0)</f>
        <v>Sun Bicycles Biscayne Tandem CB - 2017</v>
      </c>
      <c r="I3616" s="1">
        <f t="shared" si="113"/>
        <v>1295.93</v>
      </c>
    </row>
    <row r="3617" spans="1:9" x14ac:dyDescent="0.2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 s="1">
        <f t="shared" si="112"/>
        <v>501.88</v>
      </c>
      <c r="H3617" s="1" t="str">
        <f>_xlfn.XLOOKUP(C3617,Product!A:A,Product!B:B,"not found",0)</f>
        <v>Sun Bicycles Revolutions 24 - 2017</v>
      </c>
      <c r="I3617" s="1">
        <f t="shared" si="113"/>
        <v>501.88</v>
      </c>
    </row>
    <row r="3618" spans="1:9" x14ac:dyDescent="0.2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 s="1">
        <f t="shared" si="112"/>
        <v>1199.93</v>
      </c>
      <c r="H3618" s="1" t="str">
        <f>_xlfn.XLOOKUP(C3618,Product!A:A,Product!B:B,"not found",0)</f>
        <v>Electra Townie Original 7D EQ - Women's - 2016</v>
      </c>
      <c r="I3618" s="1">
        <f t="shared" si="113"/>
        <v>1199.93</v>
      </c>
    </row>
    <row r="3619" spans="1:9" x14ac:dyDescent="0.2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 s="1">
        <f t="shared" si="112"/>
        <v>939.88</v>
      </c>
      <c r="H3619" s="1" t="str">
        <f>_xlfn.XLOOKUP(C3619,Product!A:A,Product!B:B,"not found",0)</f>
        <v>Surly Ice Cream Truck Frameset - 2016</v>
      </c>
      <c r="I3619" s="1">
        <f t="shared" si="113"/>
        <v>939.88</v>
      </c>
    </row>
    <row r="3620" spans="1:9" x14ac:dyDescent="0.2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 s="1">
        <f t="shared" si="112"/>
        <v>9999.8799999999992</v>
      </c>
      <c r="H3620" s="1" t="str">
        <f>_xlfn.XLOOKUP(C3620,Product!A:A,Product!B:B,"not found",0)</f>
        <v>Trek Fuel EX 9.8 29 - 2017</v>
      </c>
      <c r="I3620" s="1">
        <f t="shared" si="113"/>
        <v>9999.8799999999992</v>
      </c>
    </row>
    <row r="3621" spans="1:9" x14ac:dyDescent="0.2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 s="1">
        <f t="shared" si="112"/>
        <v>5499.92</v>
      </c>
      <c r="H3621" s="1" t="str">
        <f>_xlfn.XLOOKUP(C3621,Product!A:A,Product!B:B,"not found",0)</f>
        <v>Trek Domane SLR 6 Disc - 2017</v>
      </c>
      <c r="I3621" s="1">
        <f t="shared" si="113"/>
        <v>5499.92</v>
      </c>
    </row>
    <row r="3622" spans="1:9" x14ac:dyDescent="0.2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 s="1">
        <f t="shared" si="112"/>
        <v>3999.9199999999996</v>
      </c>
      <c r="H3622" s="1" t="str">
        <f>_xlfn.XLOOKUP(C3622,Product!A:A,Product!B:B,"not found",0)</f>
        <v>Trek Slash 8 27.5 - 2016</v>
      </c>
      <c r="I3622" s="1">
        <f t="shared" si="113"/>
        <v>3999.9199999999996</v>
      </c>
    </row>
    <row r="3623" spans="1:9" x14ac:dyDescent="0.2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 s="1">
        <f t="shared" si="112"/>
        <v>402.79</v>
      </c>
      <c r="H3623" s="1" t="str">
        <f>_xlfn.XLOOKUP(C3623,Product!A:A,Product!B:B,"not found",0)</f>
        <v>Sun Bicycles Boardwalk (24-inch Wheels) - 2017</v>
      </c>
      <c r="I3623" s="1">
        <f t="shared" si="113"/>
        <v>402.79</v>
      </c>
    </row>
    <row r="3624" spans="1:9" x14ac:dyDescent="0.2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 s="1">
        <f t="shared" si="112"/>
        <v>109.78999999999999</v>
      </c>
      <c r="H3624" s="1" t="str">
        <f>_xlfn.XLOOKUP(C3624,Product!A:A,Product!B:B,"not found",0)</f>
        <v>Sun Bicycles Lil Kitt'n - 2017</v>
      </c>
      <c r="I3624" s="1">
        <f t="shared" si="113"/>
        <v>109.78999999999999</v>
      </c>
    </row>
    <row r="3625" spans="1:9" x14ac:dyDescent="0.2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 s="1">
        <f t="shared" si="112"/>
        <v>3999.93</v>
      </c>
      <c r="H3625" s="1" t="str">
        <f>_xlfn.XLOOKUP(C3625,Product!A:A,Product!B:B,"not found",0)</f>
        <v>Trek Emonda S 5 - 2017</v>
      </c>
      <c r="I3625" s="1">
        <f t="shared" si="113"/>
        <v>3999.93</v>
      </c>
    </row>
    <row r="3626" spans="1:9" x14ac:dyDescent="0.2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 s="1">
        <f t="shared" si="112"/>
        <v>999.88</v>
      </c>
      <c r="H3626" s="1" t="str">
        <f>_xlfn.XLOOKUP(C3626,Product!A:A,Product!B:B,"not found",0)</f>
        <v>Electra Townie Original 7D - 2015/2016</v>
      </c>
      <c r="I3626" s="1">
        <f t="shared" si="113"/>
        <v>999.88</v>
      </c>
    </row>
    <row r="3627" spans="1:9" x14ac:dyDescent="0.2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 s="1">
        <f t="shared" si="112"/>
        <v>269.92</v>
      </c>
      <c r="H3627" s="1" t="str">
        <f>_xlfn.XLOOKUP(C3627,Product!A:A,Product!B:B,"not found",0)</f>
        <v>Electra Cruiser 1 (24-Inch) - 2016</v>
      </c>
      <c r="I3627" s="1">
        <f t="shared" si="113"/>
        <v>269.92</v>
      </c>
    </row>
    <row r="3628" spans="1:9" x14ac:dyDescent="0.2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 s="1">
        <f t="shared" si="112"/>
        <v>189.79000000000002</v>
      </c>
      <c r="H3628" s="1" t="str">
        <f>_xlfn.XLOOKUP(C3628,Product!A:A,Product!B:B,"not found",0)</f>
        <v>Trek Precaliber 12 Girls - 2017</v>
      </c>
      <c r="I3628" s="1">
        <f t="shared" si="113"/>
        <v>189.79000000000002</v>
      </c>
    </row>
    <row r="3629" spans="1:9" x14ac:dyDescent="0.2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 s="1">
        <f t="shared" si="112"/>
        <v>761.79</v>
      </c>
      <c r="H3629" s="1" t="str">
        <f>_xlfn.XLOOKUP(C3629,Product!A:A,Product!B:B,"not found",0)</f>
        <v>Sun Bicycles Brickell Tandem CB - 2017</v>
      </c>
      <c r="I3629" s="1">
        <f t="shared" si="113"/>
        <v>761.79</v>
      </c>
    </row>
    <row r="3630" spans="1:9" x14ac:dyDescent="0.2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 s="1">
        <f t="shared" si="112"/>
        <v>349.79</v>
      </c>
      <c r="H3630" s="1" t="str">
        <f>_xlfn.XLOOKUP(C3630,Product!A:A,Product!B:B,"not found",0)</f>
        <v>Trek Precaliber 24 (21-Speed) - Girls - 2017</v>
      </c>
      <c r="I3630" s="1">
        <f t="shared" si="113"/>
        <v>349.79</v>
      </c>
    </row>
    <row r="3631" spans="1:9" x14ac:dyDescent="0.2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 s="1">
        <f t="shared" si="112"/>
        <v>10599.779999999999</v>
      </c>
      <c r="H3631" s="1" t="str">
        <f>_xlfn.XLOOKUP(C3631,Product!A:A,Product!B:B,"not found",0)</f>
        <v>Trek Fuel EX 9.8 27.5 Plus - 2017</v>
      </c>
      <c r="I3631" s="1">
        <f t="shared" si="113"/>
        <v>10599.779999999999</v>
      </c>
    </row>
    <row r="3632" spans="1:9" x14ac:dyDescent="0.2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 s="1">
        <f t="shared" si="112"/>
        <v>749.94</v>
      </c>
      <c r="H3632" s="1" t="str">
        <f>_xlfn.XLOOKUP(C3632,Product!A:A,Product!B:B,"not found",0)</f>
        <v>Surly Ogre Frameset - 2017</v>
      </c>
      <c r="I3632" s="1">
        <f t="shared" si="113"/>
        <v>749.94</v>
      </c>
    </row>
    <row r="3633" spans="1:9" x14ac:dyDescent="0.2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 s="1">
        <f t="shared" si="112"/>
        <v>539.78</v>
      </c>
      <c r="H3633" s="1" t="str">
        <f>_xlfn.XLOOKUP(C3633,Product!A:A,Product!B:B,"not found",0)</f>
        <v>Electra Girl's Hawaii 1 (16-inch) - 2015/2016</v>
      </c>
      <c r="I3633" s="1">
        <f t="shared" si="113"/>
        <v>539.78</v>
      </c>
    </row>
    <row r="3634" spans="1:9" x14ac:dyDescent="0.2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 s="1">
        <f t="shared" si="112"/>
        <v>1199.93</v>
      </c>
      <c r="H3634" s="1" t="str">
        <f>_xlfn.XLOOKUP(C3634,Product!A:A,Product!B:B,"not found",0)</f>
        <v>Electra Townie Original 7D EQ - 2016</v>
      </c>
      <c r="I3634" s="1">
        <f t="shared" si="113"/>
        <v>1199.93</v>
      </c>
    </row>
    <row r="3635" spans="1:9" x14ac:dyDescent="0.2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 s="1">
        <f t="shared" si="112"/>
        <v>659.94</v>
      </c>
      <c r="H3635" s="1" t="str">
        <f>_xlfn.XLOOKUP(C3635,Product!A:A,Product!B:B,"not found",0)</f>
        <v>Electra Amsterdam Original 3i Ladies' - 2017</v>
      </c>
      <c r="I3635" s="1">
        <f t="shared" si="113"/>
        <v>659.94</v>
      </c>
    </row>
    <row r="3636" spans="1:9" x14ac:dyDescent="0.2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 s="1">
        <f t="shared" si="112"/>
        <v>1079.78</v>
      </c>
      <c r="H3636" s="1" t="str">
        <f>_xlfn.XLOOKUP(C3636,Product!A:A,Product!B:B,"not found",0)</f>
        <v>Haro SR 1.1 - 2017</v>
      </c>
      <c r="I3636" s="1">
        <f t="shared" si="113"/>
        <v>1079.78</v>
      </c>
    </row>
    <row r="3637" spans="1:9" x14ac:dyDescent="0.2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 s="1">
        <f t="shared" si="112"/>
        <v>489.89</v>
      </c>
      <c r="H3637" s="1" t="str">
        <f>_xlfn.XLOOKUP(C3637,Product!A:A,Product!B:B,"not found",0)</f>
        <v>Electra Townie 3i EQ (20-inch) - Boys' - 2017</v>
      </c>
      <c r="I3637" s="1">
        <f t="shared" si="113"/>
        <v>489.89</v>
      </c>
    </row>
    <row r="3638" spans="1:9" x14ac:dyDescent="0.2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 s="1">
        <f t="shared" si="112"/>
        <v>1999.93</v>
      </c>
      <c r="H3638" s="1" t="str">
        <f>_xlfn.XLOOKUP(C3638,Product!A:A,Product!B:B,"not found",0)</f>
        <v>Surly Ice Cream Truck Frameset - 2017</v>
      </c>
      <c r="I3638" s="1">
        <f t="shared" si="113"/>
        <v>1999.93</v>
      </c>
    </row>
    <row r="3639" spans="1:9" x14ac:dyDescent="0.2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 s="1">
        <f t="shared" si="112"/>
        <v>4999.9399999999996</v>
      </c>
      <c r="H3639" s="1" t="str">
        <f>_xlfn.XLOOKUP(C3639,Product!A:A,Product!B:B,"not found",0)</f>
        <v>Trek Powerfly 8 FS Plus - 2017</v>
      </c>
      <c r="I3639" s="1">
        <f t="shared" si="113"/>
        <v>4999.9399999999996</v>
      </c>
    </row>
    <row r="3640" spans="1:9" x14ac:dyDescent="0.2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 s="1">
        <f t="shared" si="112"/>
        <v>857.9</v>
      </c>
      <c r="H3640" s="1" t="str">
        <f>_xlfn.XLOOKUP(C3640,Product!A:A,Product!B:B,"not found",0)</f>
        <v>Pure Cycles Vine 8-Speed - 2016</v>
      </c>
      <c r="I3640" s="1">
        <f t="shared" si="113"/>
        <v>857.9</v>
      </c>
    </row>
    <row r="3641" spans="1:9" x14ac:dyDescent="0.2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 s="1">
        <f t="shared" si="112"/>
        <v>1469.94</v>
      </c>
      <c r="H3641" s="1" t="str">
        <f>_xlfn.XLOOKUP(C3641,Product!A:A,Product!B:B,"not found",0)</f>
        <v>Haro Shift R3 - 2017</v>
      </c>
      <c r="I3641" s="1">
        <f t="shared" si="113"/>
        <v>1469.94</v>
      </c>
    </row>
    <row r="3642" spans="1:9" x14ac:dyDescent="0.2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 s="1">
        <f t="shared" si="112"/>
        <v>2899.89</v>
      </c>
      <c r="H3642" s="1" t="str">
        <f>_xlfn.XLOOKUP(C3642,Product!A:A,Product!B:B,"not found",0)</f>
        <v>Trek Fuel EX 8 29 - 2016</v>
      </c>
      <c r="I3642" s="1">
        <f t="shared" si="113"/>
        <v>2899.89</v>
      </c>
    </row>
    <row r="3643" spans="1:9" x14ac:dyDescent="0.2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 s="1">
        <f t="shared" si="112"/>
        <v>499.88</v>
      </c>
      <c r="H3643" s="1" t="str">
        <f>_xlfn.XLOOKUP(C3643,Product!A:A,Product!B:B,"not found",0)</f>
        <v>Haro Shredder Pro 20 - 2017</v>
      </c>
      <c r="I3643" s="1">
        <f t="shared" si="113"/>
        <v>499.88</v>
      </c>
    </row>
    <row r="3644" spans="1:9" x14ac:dyDescent="0.2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 s="1">
        <f t="shared" si="112"/>
        <v>599.93000000000006</v>
      </c>
      <c r="H3644" s="1" t="str">
        <f>_xlfn.XLOOKUP(C3644,Product!A:A,Product!B:B,"not found",0)</f>
        <v>Electra Sugar Skulls 1 (20-inch) - Girl's - 2017</v>
      </c>
      <c r="I3644" s="1">
        <f t="shared" si="113"/>
        <v>599.93000000000006</v>
      </c>
    </row>
    <row r="3645" spans="1:9" x14ac:dyDescent="0.2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 s="1">
        <f t="shared" si="112"/>
        <v>1559.89</v>
      </c>
      <c r="H3645" s="1" t="str">
        <f>_xlfn.XLOOKUP(C3645,Product!A:A,Product!B:B,"not found",0)</f>
        <v>Sun Bicycles ElectroLite - 2017</v>
      </c>
      <c r="I3645" s="1">
        <f t="shared" si="113"/>
        <v>1559.89</v>
      </c>
    </row>
    <row r="3646" spans="1:9" x14ac:dyDescent="0.2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 s="1">
        <f t="shared" si="112"/>
        <v>448.8</v>
      </c>
      <c r="H3646" s="1" t="str">
        <f>_xlfn.XLOOKUP(C3646,Product!A:A,Product!B:B,"not found",0)</f>
        <v>Pure Cycles William 3-Speed - 2016</v>
      </c>
      <c r="I3646" s="1">
        <f t="shared" si="113"/>
        <v>448.8</v>
      </c>
    </row>
    <row r="3647" spans="1:9" x14ac:dyDescent="0.2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 s="1">
        <f t="shared" si="112"/>
        <v>1799.89</v>
      </c>
      <c r="H3647" s="1" t="str">
        <f>_xlfn.XLOOKUP(C3647,Product!A:A,Product!B:B,"not found",0)</f>
        <v>Trek Remedy 29 Carbon Frameset - 2016</v>
      </c>
      <c r="I3647" s="1">
        <f t="shared" si="113"/>
        <v>1799.89</v>
      </c>
    </row>
    <row r="3648" spans="1:9" x14ac:dyDescent="0.2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 s="1">
        <f t="shared" si="112"/>
        <v>250.89000000000001</v>
      </c>
      <c r="H3648" s="1" t="str">
        <f>_xlfn.XLOOKUP(C3648,Product!A:A,Product!B:B,"not found",0)</f>
        <v>Sun Bicycles Revolutions 24 - 2017</v>
      </c>
      <c r="I3648" s="1">
        <f t="shared" si="113"/>
        <v>250.89000000000001</v>
      </c>
    </row>
    <row r="3649" spans="1:9" x14ac:dyDescent="0.2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 s="1">
        <f t="shared" si="112"/>
        <v>749.79</v>
      </c>
      <c r="H3649" s="1" t="str">
        <f>_xlfn.XLOOKUP(C3649,Product!A:A,Product!B:B,"not found",0)</f>
        <v>Sun Bicycles Brickell Tandem 7 - 2017</v>
      </c>
      <c r="I3649" s="1">
        <f t="shared" si="113"/>
        <v>749.79</v>
      </c>
    </row>
    <row r="3650" spans="1:9" x14ac:dyDescent="0.2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 s="1">
        <f t="shared" si="112"/>
        <v>379.78000000000003</v>
      </c>
      <c r="H3650" s="1" t="str">
        <f>_xlfn.XLOOKUP(C3650,Product!A:A,Product!B:B,"not found",0)</f>
        <v>Trek Precaliber 12 Girls - 2017</v>
      </c>
      <c r="I3650" s="1">
        <f t="shared" si="113"/>
        <v>379.78000000000003</v>
      </c>
    </row>
    <row r="3651" spans="1:9" x14ac:dyDescent="0.2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 s="1">
        <f t="shared" ref="G3651:G3714" si="114">(E3651*D3651)-F3651</f>
        <v>489.94</v>
      </c>
      <c r="H3651" s="1" t="str">
        <f>_xlfn.XLOOKUP(C3651,Product!A:A,Product!B:B,"not found",0)</f>
        <v>Electra Townie 3i EQ (20-inch) - Boys' - 2017</v>
      </c>
      <c r="I3651" s="1">
        <f t="shared" ref="I3651:I3714" si="115">(D3651*E3651)-F3651</f>
        <v>489.94</v>
      </c>
    </row>
    <row r="3652" spans="1:9" x14ac:dyDescent="0.2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 s="1">
        <f t="shared" si="114"/>
        <v>2299.89</v>
      </c>
      <c r="H3652" s="1" t="str">
        <f>_xlfn.XLOOKUP(C3652,Product!A:A,Product!B:B,"not found",0)</f>
        <v>Trek Fuel EX 5 27.5 Plus - 2017</v>
      </c>
      <c r="I3652" s="1">
        <f t="shared" si="115"/>
        <v>2299.89</v>
      </c>
    </row>
    <row r="3653" spans="1:9" x14ac:dyDescent="0.2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 s="1">
        <f t="shared" si="114"/>
        <v>379.92</v>
      </c>
      <c r="H3653" s="1" t="str">
        <f>_xlfn.XLOOKUP(C3653,Product!A:A,Product!B:B,"not found",0)</f>
        <v>Haro Flightline One ST - 2017</v>
      </c>
      <c r="I3653" s="1">
        <f t="shared" si="115"/>
        <v>379.92</v>
      </c>
    </row>
    <row r="3654" spans="1:9" x14ac:dyDescent="0.2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 s="1">
        <f t="shared" si="114"/>
        <v>875.94</v>
      </c>
      <c r="H3654" s="1" t="str">
        <f>_xlfn.XLOOKUP(C3654,Product!A:A,Product!B:B,"not found",0)</f>
        <v>Surly Steamroller - 2017</v>
      </c>
      <c r="I3654" s="1">
        <f t="shared" si="115"/>
        <v>875.94</v>
      </c>
    </row>
    <row r="3655" spans="1:9" x14ac:dyDescent="0.2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 s="1">
        <f t="shared" si="114"/>
        <v>10599.91</v>
      </c>
      <c r="H3655" s="1" t="str">
        <f>_xlfn.XLOOKUP(C3655,Product!A:A,Product!B:B,"not found",0)</f>
        <v>Trek Fuel EX 9.8 27.5 Plus - 2017</v>
      </c>
      <c r="I3655" s="1">
        <f t="shared" si="115"/>
        <v>10599.91</v>
      </c>
    </row>
    <row r="3656" spans="1:9" x14ac:dyDescent="0.2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 s="1">
        <f t="shared" si="114"/>
        <v>799.92</v>
      </c>
      <c r="H3656" s="1" t="str">
        <f>_xlfn.XLOOKUP(C3656,Product!A:A,Product!B:B,"not found",0)</f>
        <v>Electra Glam Punk 3i Ladies' - 2017</v>
      </c>
      <c r="I3656" s="1">
        <f t="shared" si="115"/>
        <v>799.92</v>
      </c>
    </row>
    <row r="3657" spans="1:9" x14ac:dyDescent="0.2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 s="1">
        <f t="shared" si="114"/>
        <v>869.79</v>
      </c>
      <c r="H3657" s="1" t="str">
        <f>_xlfn.XLOOKUP(C3657,Product!A:A,Product!B:B,"not found",0)</f>
        <v>Haro SR 1.2 - 2017</v>
      </c>
      <c r="I3657" s="1">
        <f t="shared" si="115"/>
        <v>869.79</v>
      </c>
    </row>
    <row r="3658" spans="1:9" x14ac:dyDescent="0.2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 s="1">
        <f t="shared" si="114"/>
        <v>3499.9399999999996</v>
      </c>
      <c r="H3658" s="1" t="str">
        <f>_xlfn.XLOOKUP(C3658,Product!A:A,Product!B:B,"not found",0)</f>
        <v>Trek Boone 7 - 2017</v>
      </c>
      <c r="I3658" s="1">
        <f t="shared" si="115"/>
        <v>3499.9399999999996</v>
      </c>
    </row>
    <row r="3659" spans="1:9" x14ac:dyDescent="0.2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 s="1">
        <f t="shared" si="114"/>
        <v>897.9</v>
      </c>
      <c r="H3659" s="1" t="str">
        <f>_xlfn.XLOOKUP(C3659,Product!A:A,Product!B:B,"not found",0)</f>
        <v>Pure Cycles William 3-Speed - 2016</v>
      </c>
      <c r="I3659" s="1">
        <f t="shared" si="115"/>
        <v>897.9</v>
      </c>
    </row>
    <row r="3660" spans="1:9" x14ac:dyDescent="0.2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 s="1">
        <f t="shared" si="114"/>
        <v>339.92</v>
      </c>
      <c r="H3660" s="1" t="str">
        <f>_xlfn.XLOOKUP(C3660,Product!A:A,Product!B:B,"not found",0)</f>
        <v>Electra Townie 7D (20-inch) - Boys' - 2017</v>
      </c>
      <c r="I3660" s="1">
        <f t="shared" si="115"/>
        <v>339.92</v>
      </c>
    </row>
    <row r="3661" spans="1:9" x14ac:dyDescent="0.2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 s="1">
        <f t="shared" si="114"/>
        <v>1599.91</v>
      </c>
      <c r="H3661" s="1" t="str">
        <f>_xlfn.XLOOKUP(C3661,Product!A:A,Product!B:B,"not found",0)</f>
        <v>Electra Glam Punk 3i Ladies' - 2017</v>
      </c>
      <c r="I3661" s="1">
        <f t="shared" si="115"/>
        <v>1599.91</v>
      </c>
    </row>
    <row r="3662" spans="1:9" x14ac:dyDescent="0.2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 s="1">
        <f t="shared" si="114"/>
        <v>1999.78</v>
      </c>
      <c r="H3662" s="1" t="str">
        <f>_xlfn.XLOOKUP(C3662,Product!A:A,Product!B:B,"not found",0)</f>
        <v>Trek X-Caliber 8 - 2017</v>
      </c>
      <c r="I3662" s="1">
        <f t="shared" si="115"/>
        <v>1999.78</v>
      </c>
    </row>
    <row r="3663" spans="1:9" x14ac:dyDescent="0.2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 s="1">
        <f t="shared" si="114"/>
        <v>875.94</v>
      </c>
      <c r="H3663" s="1" t="str">
        <f>_xlfn.XLOOKUP(C3663,Product!A:A,Product!B:B,"not found",0)</f>
        <v>Surly Steamroller - 2017</v>
      </c>
      <c r="I3663" s="1">
        <f t="shared" si="115"/>
        <v>875.94</v>
      </c>
    </row>
    <row r="3664" spans="1:9" x14ac:dyDescent="0.2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 s="1">
        <f t="shared" si="114"/>
        <v>2939.88</v>
      </c>
      <c r="H3664" s="1" t="str">
        <f>_xlfn.XLOOKUP(C3664,Product!A:A,Product!B:B,"not found",0)</f>
        <v>Haro Shift R3 - 2017</v>
      </c>
      <c r="I3664" s="1">
        <f t="shared" si="115"/>
        <v>2939.88</v>
      </c>
    </row>
    <row r="3665" spans="1:9" x14ac:dyDescent="0.2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 s="1">
        <f t="shared" si="114"/>
        <v>1239.9100000000001</v>
      </c>
      <c r="H3665" s="1" t="str">
        <f>_xlfn.XLOOKUP(C3665,Product!A:A,Product!B:B,"not found",0)</f>
        <v>Sun Bicycles Biscayne Tandem 7 - 2017</v>
      </c>
      <c r="I3665" s="1">
        <f t="shared" si="115"/>
        <v>1239.9100000000001</v>
      </c>
    </row>
    <row r="3666" spans="1:9" x14ac:dyDescent="0.2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 s="1">
        <f t="shared" si="114"/>
        <v>209.79000000000002</v>
      </c>
      <c r="H3666" s="1" t="str">
        <f>_xlfn.XLOOKUP(C3666,Product!A:A,Product!B:B,"not found",0)</f>
        <v>Trek Precaliber 16 Girls - 2017</v>
      </c>
      <c r="I3666" s="1">
        <f t="shared" si="115"/>
        <v>209.79000000000002</v>
      </c>
    </row>
    <row r="3667" spans="1:9" x14ac:dyDescent="0.2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 s="1">
        <f t="shared" si="114"/>
        <v>1499.79</v>
      </c>
      <c r="H3667" s="1" t="str">
        <f>_xlfn.XLOOKUP(C3667,Product!A:A,Product!B:B,"not found",0)</f>
        <v>Trek Emonda S 4 - 2017</v>
      </c>
      <c r="I3667" s="1">
        <f t="shared" si="115"/>
        <v>1499.79</v>
      </c>
    </row>
    <row r="3668" spans="1:9" x14ac:dyDescent="0.2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 s="1">
        <f t="shared" si="114"/>
        <v>869.89</v>
      </c>
      <c r="H3668" s="1" t="str">
        <f>_xlfn.XLOOKUP(C3668,Product!A:A,Product!B:B,"not found",0)</f>
        <v>Haro SR 1.2 - 2017</v>
      </c>
      <c r="I3668" s="1">
        <f t="shared" si="115"/>
        <v>869.89</v>
      </c>
    </row>
    <row r="3669" spans="1:9" x14ac:dyDescent="0.2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 s="1">
        <f t="shared" si="114"/>
        <v>999.92</v>
      </c>
      <c r="H3669" s="1" t="str">
        <f>_xlfn.XLOOKUP(C3669,Product!A:A,Product!B:B,"not found",0)</f>
        <v>Surly Big Dummy Frameset - 2017</v>
      </c>
      <c r="I3669" s="1">
        <f t="shared" si="115"/>
        <v>999.92</v>
      </c>
    </row>
    <row r="3670" spans="1:9" x14ac:dyDescent="0.2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 s="1">
        <f t="shared" si="114"/>
        <v>449.79</v>
      </c>
      <c r="H3670" s="1" t="str">
        <f>_xlfn.XLOOKUP(C3670,Product!A:A,Product!B:B,"not found",0)</f>
        <v>Sun Bicycles Cruz 3 - Women's - 2017</v>
      </c>
      <c r="I3670" s="1">
        <f t="shared" si="115"/>
        <v>449.79</v>
      </c>
    </row>
    <row r="3671" spans="1:9" x14ac:dyDescent="0.2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 s="1">
        <f t="shared" si="114"/>
        <v>299.94</v>
      </c>
      <c r="H3671" s="1" t="str">
        <f>_xlfn.XLOOKUP(C3671,Product!A:A,Product!B:B,"not found",0)</f>
        <v>Electra Girl's Hawaii 1 16" - 2017</v>
      </c>
      <c r="I3671" s="1">
        <f t="shared" si="115"/>
        <v>299.94</v>
      </c>
    </row>
    <row r="3672" spans="1:9" x14ac:dyDescent="0.2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 s="1">
        <f t="shared" si="114"/>
        <v>899.91</v>
      </c>
      <c r="H3672" s="1" t="str">
        <f>_xlfn.XLOOKUP(C3672,Product!A:A,Product!B:B,"not found",0)</f>
        <v>Sun Bicycles Cruz 3 - 2017</v>
      </c>
      <c r="I3672" s="1">
        <f t="shared" si="115"/>
        <v>899.91</v>
      </c>
    </row>
    <row r="3673" spans="1:9" x14ac:dyDescent="0.2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 s="1">
        <f t="shared" si="114"/>
        <v>379.91</v>
      </c>
      <c r="H3673" s="1" t="str">
        <f>_xlfn.XLOOKUP(C3673,Product!A:A,Product!B:B,"not found",0)</f>
        <v>Trek Precaliber 12 Boys - 2017</v>
      </c>
      <c r="I3673" s="1">
        <f t="shared" si="115"/>
        <v>379.91</v>
      </c>
    </row>
    <row r="3674" spans="1:9" x14ac:dyDescent="0.2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 s="1">
        <f t="shared" si="114"/>
        <v>5199.78</v>
      </c>
      <c r="H3674" s="1" t="str">
        <f>_xlfn.XLOOKUP(C3674,Product!A:A,Product!B:B,"not found",0)</f>
        <v>Trek Domane S 5 Disc - 2017</v>
      </c>
      <c r="I3674" s="1">
        <f t="shared" si="115"/>
        <v>5199.78</v>
      </c>
    </row>
    <row r="3675" spans="1:9" x14ac:dyDescent="0.2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 s="1">
        <f t="shared" si="114"/>
        <v>489.92</v>
      </c>
      <c r="H3675" s="1" t="str">
        <f>_xlfn.XLOOKUP(C3675,Product!A:A,Product!B:B,"not found",0)</f>
        <v>Electra Townie 3i EQ (20-inch) - Boys' - 2017</v>
      </c>
      <c r="I3675" s="1">
        <f t="shared" si="115"/>
        <v>489.92</v>
      </c>
    </row>
    <row r="3676" spans="1:9" x14ac:dyDescent="0.2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 s="1">
        <f t="shared" si="114"/>
        <v>5799.78</v>
      </c>
      <c r="H3676" s="1" t="str">
        <f>_xlfn.XLOOKUP(C3676,Product!A:A,Product!B:B,"not found",0)</f>
        <v>Trek Fuel EX 8 29 - 2016</v>
      </c>
      <c r="I3676" s="1">
        <f t="shared" si="115"/>
        <v>5799.78</v>
      </c>
    </row>
    <row r="3677" spans="1:9" x14ac:dyDescent="0.2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 s="1">
        <f t="shared" si="114"/>
        <v>3999.79</v>
      </c>
      <c r="H3677" s="1" t="str">
        <f>_xlfn.XLOOKUP(C3677,Product!A:A,Product!B:B,"not found",0)</f>
        <v>Trek Slash 8 27.5 - 2016</v>
      </c>
      <c r="I3677" s="1">
        <f t="shared" si="115"/>
        <v>3999.79</v>
      </c>
    </row>
    <row r="3678" spans="1:9" x14ac:dyDescent="0.2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 s="1">
        <f t="shared" si="114"/>
        <v>470.89</v>
      </c>
      <c r="H3678" s="1" t="str">
        <f>_xlfn.XLOOKUP(C3678,Product!A:A,Product!B:B,"not found",0)</f>
        <v>Sun Bicycles Drifter 7 - Women's - 2017</v>
      </c>
      <c r="I3678" s="1">
        <f t="shared" si="115"/>
        <v>470.89</v>
      </c>
    </row>
    <row r="3679" spans="1:9" x14ac:dyDescent="0.2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 s="1">
        <f t="shared" si="114"/>
        <v>3199.79</v>
      </c>
      <c r="H3679" s="1" t="str">
        <f>_xlfn.XLOOKUP(C3679,Product!A:A,Product!B:B,"not found",0)</f>
        <v>Trek Domane SL Disc Frameset - 2017</v>
      </c>
      <c r="I3679" s="1">
        <f t="shared" si="115"/>
        <v>3199.79</v>
      </c>
    </row>
    <row r="3680" spans="1:9" x14ac:dyDescent="0.2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 s="1">
        <f t="shared" si="114"/>
        <v>999.88</v>
      </c>
      <c r="H3680" s="1" t="str">
        <f>_xlfn.XLOOKUP(C3680,Product!A:A,Product!B:B,"not found",0)</f>
        <v>Electra Townie Original 7D - 2015/2016</v>
      </c>
      <c r="I3680" s="1">
        <f t="shared" si="115"/>
        <v>999.88</v>
      </c>
    </row>
    <row r="3681" spans="1:9" x14ac:dyDescent="0.2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 s="1">
        <f t="shared" si="114"/>
        <v>11999.91</v>
      </c>
      <c r="H3681" s="1" t="str">
        <f>_xlfn.XLOOKUP(C3681,Product!A:A,Product!B:B,"not found",0)</f>
        <v>Trek Silque SLR 7 Women's - 2017</v>
      </c>
      <c r="I3681" s="1">
        <f t="shared" si="115"/>
        <v>11999.91</v>
      </c>
    </row>
    <row r="3682" spans="1:9" x14ac:dyDescent="0.2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 s="1">
        <f t="shared" si="114"/>
        <v>379.91</v>
      </c>
      <c r="H3682" s="1" t="str">
        <f>_xlfn.XLOOKUP(C3682,Product!A:A,Product!B:B,"not found",0)</f>
        <v>Trek Precaliber 12 Boys - 2017</v>
      </c>
      <c r="I3682" s="1">
        <f t="shared" si="115"/>
        <v>379.91</v>
      </c>
    </row>
    <row r="3683" spans="1:9" x14ac:dyDescent="0.2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 s="1">
        <f t="shared" si="114"/>
        <v>939.91</v>
      </c>
      <c r="H3683" s="1" t="str">
        <f>_xlfn.XLOOKUP(C3683,Product!A:A,Product!B:B,"not found",0)</f>
        <v>Trek Farley Alloy Frameset - 2017</v>
      </c>
      <c r="I3683" s="1">
        <f t="shared" si="115"/>
        <v>939.91</v>
      </c>
    </row>
    <row r="3684" spans="1:9" x14ac:dyDescent="0.2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 s="1">
        <f t="shared" si="114"/>
        <v>1199.78</v>
      </c>
      <c r="H3684" s="1" t="str">
        <f>_xlfn.XLOOKUP(C3684,Product!A:A,Product!B:B,"not found",0)</f>
        <v>Electra Townie Original 7D EQ - 2016</v>
      </c>
      <c r="I3684" s="1">
        <f t="shared" si="115"/>
        <v>1199.78</v>
      </c>
    </row>
    <row r="3685" spans="1:9" x14ac:dyDescent="0.2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 s="1">
        <f t="shared" si="114"/>
        <v>833.88</v>
      </c>
      <c r="H3685" s="1" t="str">
        <f>_xlfn.XLOOKUP(C3685,Product!A:A,Product!B:B,"not found",0)</f>
        <v>Sun Bicycles Atlas X-Type - 2017</v>
      </c>
      <c r="I3685" s="1">
        <f t="shared" si="115"/>
        <v>833.88</v>
      </c>
    </row>
    <row r="3686" spans="1:9" x14ac:dyDescent="0.2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 s="1">
        <f t="shared" si="114"/>
        <v>149.92000000000002</v>
      </c>
      <c r="H3686" s="1" t="str">
        <f>_xlfn.XLOOKUP(C3686,Product!A:A,Product!B:B,"not found",0)</f>
        <v>Trek Girl's Kickster - 2017</v>
      </c>
      <c r="I3686" s="1">
        <f t="shared" si="115"/>
        <v>149.92000000000002</v>
      </c>
    </row>
    <row r="3687" spans="1:9" x14ac:dyDescent="0.2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 s="1">
        <f t="shared" si="114"/>
        <v>599.91</v>
      </c>
      <c r="H3687" s="1" t="str">
        <f>_xlfn.XLOOKUP(C3687,Product!A:A,Product!B:B,"not found",0)</f>
        <v>Electra Girl's Hawaii 1 16" - 2017</v>
      </c>
      <c r="I3687" s="1">
        <f t="shared" si="115"/>
        <v>599.91</v>
      </c>
    </row>
    <row r="3688" spans="1:9" x14ac:dyDescent="0.2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 s="1">
        <f t="shared" si="114"/>
        <v>599.91999999999996</v>
      </c>
      <c r="H3688" s="1" t="str">
        <f>_xlfn.XLOOKUP(C3688,Product!A:A,Product!B:B,"not found",0)</f>
        <v>Electra Townie Original 7D EQ - Women's - 2016</v>
      </c>
      <c r="I3688" s="1">
        <f t="shared" si="115"/>
        <v>599.91999999999996</v>
      </c>
    </row>
    <row r="3689" spans="1:9" x14ac:dyDescent="0.2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 s="1">
        <f t="shared" si="114"/>
        <v>4999.79</v>
      </c>
      <c r="H3689" s="1" t="str">
        <f>_xlfn.XLOOKUP(C3689,Product!A:A,Product!B:B,"not found",0)</f>
        <v>Trek Madone 9.2 - 2017</v>
      </c>
      <c r="I3689" s="1">
        <f t="shared" si="115"/>
        <v>4999.79</v>
      </c>
    </row>
    <row r="3690" spans="1:9" x14ac:dyDescent="0.2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 s="1">
        <f t="shared" si="114"/>
        <v>1099.8900000000001</v>
      </c>
      <c r="H3690" s="1" t="str">
        <f>_xlfn.XLOOKUP(C3690,Product!A:A,Product!B:B,"not found",0)</f>
        <v>Electra Amsterdam Fashion 7i Ladies' - 2017</v>
      </c>
      <c r="I3690" s="1">
        <f t="shared" si="115"/>
        <v>1099.8900000000001</v>
      </c>
    </row>
    <row r="3691" spans="1:9" x14ac:dyDescent="0.2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 s="1">
        <f t="shared" si="114"/>
        <v>4999.92</v>
      </c>
      <c r="H3691" s="1" t="str">
        <f>_xlfn.XLOOKUP(C3691,Product!A:A,Product!B:B,"not found",0)</f>
        <v>Trek Madone 9.2 - 2017</v>
      </c>
      <c r="I3691" s="1">
        <f t="shared" si="115"/>
        <v>4999.92</v>
      </c>
    </row>
    <row r="3692" spans="1:9" x14ac:dyDescent="0.2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 s="1">
        <f t="shared" si="114"/>
        <v>999.89</v>
      </c>
      <c r="H3692" s="1" t="str">
        <f>_xlfn.XLOOKUP(C3692,Product!A:A,Product!B:B,"not found",0)</f>
        <v>Surly Ice Cream Truck Frameset - 2017</v>
      </c>
      <c r="I3692" s="1">
        <f t="shared" si="115"/>
        <v>999.89</v>
      </c>
    </row>
    <row r="3693" spans="1:9" x14ac:dyDescent="0.2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 s="1">
        <f t="shared" si="114"/>
        <v>897.8</v>
      </c>
      <c r="H3693" s="1" t="str">
        <f>_xlfn.XLOOKUP(C3693,Product!A:A,Product!B:B,"not found",0)</f>
        <v>Pure Cycles Western 3-Speed - Women's - 2015/2016</v>
      </c>
      <c r="I3693" s="1">
        <f t="shared" si="115"/>
        <v>897.8</v>
      </c>
    </row>
    <row r="3694" spans="1:9" x14ac:dyDescent="0.2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 s="1">
        <f t="shared" si="114"/>
        <v>4999.79</v>
      </c>
      <c r="H3694" s="1" t="str">
        <f>_xlfn.XLOOKUP(C3694,Product!A:A,Product!B:B,"not found",0)</f>
        <v>Trek Madone 9.2 - 2017</v>
      </c>
      <c r="I3694" s="1">
        <f t="shared" si="115"/>
        <v>4999.79</v>
      </c>
    </row>
    <row r="3695" spans="1:9" x14ac:dyDescent="0.2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 s="1">
        <f t="shared" si="114"/>
        <v>2299.9399999999996</v>
      </c>
      <c r="H3695" s="1" t="str">
        <f>_xlfn.XLOOKUP(C3695,Product!A:A,Product!B:B,"not found",0)</f>
        <v>Trek Fuel EX 5 27.5 Plus - 2017</v>
      </c>
      <c r="I3695" s="1">
        <f t="shared" si="115"/>
        <v>2299.9399999999996</v>
      </c>
    </row>
    <row r="3696" spans="1:9" x14ac:dyDescent="0.2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 s="1">
        <f t="shared" si="114"/>
        <v>1099.78</v>
      </c>
      <c r="H3696" s="1" t="str">
        <f>_xlfn.XLOOKUP(C3696,Product!A:A,Product!B:B,"not found",0)</f>
        <v>Electra Townie Original 21D - 2016</v>
      </c>
      <c r="I3696" s="1">
        <f t="shared" si="115"/>
        <v>1099.78</v>
      </c>
    </row>
    <row r="3697" spans="1:9" x14ac:dyDescent="0.2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 s="1">
        <f t="shared" si="114"/>
        <v>1295.78</v>
      </c>
      <c r="H3697" s="1" t="str">
        <f>_xlfn.XLOOKUP(C3697,Product!A:A,Product!B:B,"not found",0)</f>
        <v>Sun Bicycles Biscayne Tandem CB - 2017</v>
      </c>
      <c r="I3697" s="1">
        <f t="shared" si="115"/>
        <v>1295.78</v>
      </c>
    </row>
    <row r="3698" spans="1:9" x14ac:dyDescent="0.2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 s="1">
        <f t="shared" si="114"/>
        <v>10999.779999999999</v>
      </c>
      <c r="H3698" s="1" t="str">
        <f>_xlfn.XLOOKUP(C3698,Product!A:A,Product!B:B,"not found",0)</f>
        <v>Trek Domane SLR 6 Disc - 2017</v>
      </c>
      <c r="I3698" s="1">
        <f t="shared" si="115"/>
        <v>10999.779999999999</v>
      </c>
    </row>
    <row r="3699" spans="1:9" x14ac:dyDescent="0.2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 s="1">
        <f t="shared" si="114"/>
        <v>419.93</v>
      </c>
      <c r="H3699" s="1" t="str">
        <f>_xlfn.XLOOKUP(C3699,Product!A:A,Product!B:B,"not found",0)</f>
        <v>Haro Shredder 20 Girls - 2017</v>
      </c>
      <c r="I3699" s="1">
        <f t="shared" si="115"/>
        <v>419.93</v>
      </c>
    </row>
    <row r="3700" spans="1:9" x14ac:dyDescent="0.2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 s="1">
        <f t="shared" si="114"/>
        <v>5999.8799999999992</v>
      </c>
      <c r="H3700" s="1" t="str">
        <f>_xlfn.XLOOKUP(C3700,Product!A:A,Product!B:B,"not found",0)</f>
        <v>Trek Conduit+ - 2016</v>
      </c>
      <c r="I3700" s="1">
        <f t="shared" si="115"/>
        <v>5999.8799999999992</v>
      </c>
    </row>
    <row r="3701" spans="1:9" x14ac:dyDescent="0.2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 s="1">
        <f t="shared" si="114"/>
        <v>2899.89</v>
      </c>
      <c r="H3701" s="1" t="str">
        <f>_xlfn.XLOOKUP(C3701,Product!A:A,Product!B:B,"not found",0)</f>
        <v>Trek Fuel EX 8 29 - 2016</v>
      </c>
      <c r="I3701" s="1">
        <f t="shared" si="115"/>
        <v>2899.89</v>
      </c>
    </row>
    <row r="3702" spans="1:9" x14ac:dyDescent="0.2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 s="1">
        <f t="shared" si="114"/>
        <v>1680.79</v>
      </c>
      <c r="H3702" s="1" t="str">
        <f>_xlfn.XLOOKUP(C3702,Product!A:A,Product!B:B,"not found",0)</f>
        <v>Surly Straggler 650b - 2016</v>
      </c>
      <c r="I3702" s="1">
        <f t="shared" si="115"/>
        <v>1680.79</v>
      </c>
    </row>
    <row r="3703" spans="1:9" x14ac:dyDescent="0.2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 s="1">
        <f t="shared" si="114"/>
        <v>1103.8800000000001</v>
      </c>
      <c r="H3703" s="1" t="str">
        <f>_xlfn.XLOOKUP(C3703,Product!A:A,Product!B:B,"not found",0)</f>
        <v>Sun Bicycles Streamway 3 - 2017</v>
      </c>
      <c r="I3703" s="1">
        <f t="shared" si="115"/>
        <v>1103.8800000000001</v>
      </c>
    </row>
    <row r="3704" spans="1:9" x14ac:dyDescent="0.2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 s="1">
        <f t="shared" si="114"/>
        <v>469.89</v>
      </c>
      <c r="H3704" s="1" t="str">
        <f>_xlfn.XLOOKUP(C3704,Product!A:A,Product!B:B,"not found",0)</f>
        <v>Trek Farley Alloy Frameset - 2017</v>
      </c>
      <c r="I3704" s="1">
        <f t="shared" si="115"/>
        <v>469.89</v>
      </c>
    </row>
    <row r="3705" spans="1:9" x14ac:dyDescent="0.2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 s="1">
        <f t="shared" si="114"/>
        <v>5999.9299999999994</v>
      </c>
      <c r="H3705" s="1" t="str">
        <f>_xlfn.XLOOKUP(C3705,Product!A:A,Product!B:B,"not found",0)</f>
        <v>Trek Conduit+ - 2016</v>
      </c>
      <c r="I3705" s="1">
        <f t="shared" si="115"/>
        <v>5999.9299999999994</v>
      </c>
    </row>
    <row r="3706" spans="1:9" x14ac:dyDescent="0.2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 s="1">
        <f t="shared" si="114"/>
        <v>1239.9100000000001</v>
      </c>
      <c r="H3706" s="1" t="str">
        <f>_xlfn.XLOOKUP(C3706,Product!A:A,Product!B:B,"not found",0)</f>
        <v>Sun Bicycles Biscayne Tandem 7 - 2017</v>
      </c>
      <c r="I3706" s="1">
        <f t="shared" si="115"/>
        <v>1239.9100000000001</v>
      </c>
    </row>
    <row r="3707" spans="1:9" x14ac:dyDescent="0.2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 s="1">
        <f t="shared" si="114"/>
        <v>439.94</v>
      </c>
      <c r="H3707" s="1" t="str">
        <f>_xlfn.XLOOKUP(C3707,Product!A:A,Product!B:B,"not found",0)</f>
        <v>Electra Cruiser Lux 1 - 2017</v>
      </c>
      <c r="I3707" s="1">
        <f t="shared" si="115"/>
        <v>439.94</v>
      </c>
    </row>
    <row r="3708" spans="1:9" x14ac:dyDescent="0.2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 s="1">
        <f t="shared" si="114"/>
        <v>875.92</v>
      </c>
      <c r="H3708" s="1" t="str">
        <f>_xlfn.XLOOKUP(C3708,Product!A:A,Product!B:B,"not found",0)</f>
        <v>Surly Steamroller - 2017</v>
      </c>
      <c r="I3708" s="1">
        <f t="shared" si="115"/>
        <v>875.92</v>
      </c>
    </row>
    <row r="3709" spans="1:9" x14ac:dyDescent="0.2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 s="1">
        <f t="shared" si="114"/>
        <v>3499.79</v>
      </c>
      <c r="H3709" s="1" t="str">
        <f>_xlfn.XLOOKUP(C3709,Product!A:A,Product!B:B,"not found",0)</f>
        <v>Trek Boone Race Shop Limited - 2017</v>
      </c>
      <c r="I3709" s="1">
        <f t="shared" si="115"/>
        <v>3499.79</v>
      </c>
    </row>
    <row r="3710" spans="1:9" x14ac:dyDescent="0.2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 s="1">
        <f t="shared" si="114"/>
        <v>832.94</v>
      </c>
      <c r="H3710" s="1" t="str">
        <f>_xlfn.XLOOKUP(C3710,Product!A:A,Product!B:B,"not found",0)</f>
        <v>Surly Troll Frameset - 2017</v>
      </c>
      <c r="I3710" s="1">
        <f t="shared" si="115"/>
        <v>832.94</v>
      </c>
    </row>
    <row r="3711" spans="1:9" x14ac:dyDescent="0.2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 s="1">
        <f t="shared" si="114"/>
        <v>6999.9299999999994</v>
      </c>
      <c r="H3711" s="1" t="str">
        <f>_xlfn.XLOOKUP(C3711,Product!A:A,Product!B:B,"not found",0)</f>
        <v>Trek Domane SL 6 - 2017</v>
      </c>
      <c r="I3711" s="1">
        <f t="shared" si="115"/>
        <v>6999.9299999999994</v>
      </c>
    </row>
    <row r="3712" spans="1:9" x14ac:dyDescent="0.2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 s="1">
        <f t="shared" si="114"/>
        <v>599.94000000000005</v>
      </c>
      <c r="H3712" s="1" t="str">
        <f>_xlfn.XLOOKUP(C3712,Product!A:A,Product!B:B,"not found",0)</f>
        <v>Electra Cruiser Lux Fat Tire 1 Ladies - 2017</v>
      </c>
      <c r="I3712" s="1">
        <f t="shared" si="115"/>
        <v>599.94000000000005</v>
      </c>
    </row>
    <row r="3713" spans="1:9" x14ac:dyDescent="0.2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 s="1">
        <f t="shared" si="114"/>
        <v>470.94</v>
      </c>
      <c r="H3713" s="1" t="str">
        <f>_xlfn.XLOOKUP(C3713,Product!A:A,Product!B:B,"not found",0)</f>
        <v>Sun Bicycles Drifter 7 - Women's - 2017</v>
      </c>
      <c r="I3713" s="1">
        <f t="shared" si="115"/>
        <v>470.94</v>
      </c>
    </row>
    <row r="3714" spans="1:9" x14ac:dyDescent="0.2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 s="1">
        <f t="shared" si="114"/>
        <v>11999.779999999999</v>
      </c>
      <c r="H3714" s="1" t="str">
        <f>_xlfn.XLOOKUP(C3714,Product!A:A,Product!B:B,"not found",0)</f>
        <v>Trek Silque SLR 7 Women's - 2017</v>
      </c>
      <c r="I3714" s="1">
        <f t="shared" si="115"/>
        <v>11999.779999999999</v>
      </c>
    </row>
    <row r="3715" spans="1:9" x14ac:dyDescent="0.2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 s="1">
        <f t="shared" ref="G3715:G3778" si="116">(E3715*D3715)-F3715</f>
        <v>9999.93</v>
      </c>
      <c r="H3715" s="1" t="str">
        <f>_xlfn.XLOOKUP(C3715,Product!A:A,Product!B:B,"not found",0)</f>
        <v>Trek Powerfly 8 FS Plus - 2017</v>
      </c>
      <c r="I3715" s="1">
        <f t="shared" ref="I3715:I3778" si="117">(D3715*E3715)-F3715</f>
        <v>9999.93</v>
      </c>
    </row>
    <row r="3716" spans="1:9" x14ac:dyDescent="0.2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 s="1">
        <f t="shared" si="116"/>
        <v>1099.79</v>
      </c>
      <c r="H3716" s="1" t="str">
        <f>_xlfn.XLOOKUP(C3716,Product!A:A,Product!B:B,"not found",0)</f>
        <v>Electra Amsterdam Fashion 7i Ladies' - 2017</v>
      </c>
      <c r="I3716" s="1">
        <f t="shared" si="117"/>
        <v>1099.79</v>
      </c>
    </row>
    <row r="3717" spans="1:9" x14ac:dyDescent="0.2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 s="1">
        <f t="shared" si="116"/>
        <v>3999.89</v>
      </c>
      <c r="H3717" s="1" t="str">
        <f>_xlfn.XLOOKUP(C3717,Product!A:A,Product!B:B,"not found",0)</f>
        <v>Trek Slash 8 27.5 - 2016</v>
      </c>
      <c r="I3717" s="1">
        <f t="shared" si="117"/>
        <v>3999.89</v>
      </c>
    </row>
    <row r="3718" spans="1:9" x14ac:dyDescent="0.2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 s="1">
        <f t="shared" si="116"/>
        <v>469.89</v>
      </c>
      <c r="H3718" s="1" t="str">
        <f>_xlfn.XLOOKUP(C3718,Product!A:A,Product!B:B,"not found",0)</f>
        <v>Trek Farley Alloy Frameset - 2017</v>
      </c>
      <c r="I3718" s="1">
        <f t="shared" si="117"/>
        <v>469.89</v>
      </c>
    </row>
    <row r="3719" spans="1:9" x14ac:dyDescent="0.2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 s="1">
        <f t="shared" si="116"/>
        <v>1680.79</v>
      </c>
      <c r="H3719" s="1" t="str">
        <f>_xlfn.XLOOKUP(C3719,Product!A:A,Product!B:B,"not found",0)</f>
        <v>Surly Straggler 650b - 2016</v>
      </c>
      <c r="I3719" s="1">
        <f t="shared" si="117"/>
        <v>1680.79</v>
      </c>
    </row>
    <row r="3720" spans="1:9" x14ac:dyDescent="0.2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 s="1">
        <f t="shared" si="116"/>
        <v>339.92</v>
      </c>
      <c r="H3720" s="1" t="str">
        <f>_xlfn.XLOOKUP(C3720,Product!A:A,Product!B:B,"not found",0)</f>
        <v>Electra Townie 7D (20-inch) - Boys' - 2017</v>
      </c>
      <c r="I3720" s="1">
        <f t="shared" si="117"/>
        <v>339.92</v>
      </c>
    </row>
    <row r="3721" spans="1:9" x14ac:dyDescent="0.2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 s="1">
        <f t="shared" si="116"/>
        <v>1799.94</v>
      </c>
      <c r="H3721" s="1" t="str">
        <f>_xlfn.XLOOKUP(C3721,Product!A:A,Product!B:B,"not found",0)</f>
        <v>Trek Remedy 29 Carbon Frameset - 2016</v>
      </c>
      <c r="I3721" s="1">
        <f t="shared" si="117"/>
        <v>1799.94</v>
      </c>
    </row>
    <row r="3722" spans="1:9" x14ac:dyDescent="0.2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 s="1">
        <f t="shared" si="116"/>
        <v>5799.9299999999994</v>
      </c>
      <c r="H3722" s="1" t="str">
        <f>_xlfn.XLOOKUP(C3722,Product!A:A,Product!B:B,"not found",0)</f>
        <v>Trek Fuel EX 8 29 - 2016</v>
      </c>
      <c r="I3722" s="1">
        <f t="shared" si="117"/>
        <v>5799.9299999999994</v>
      </c>
    </row>
    <row r="3723" spans="1:9" x14ac:dyDescent="0.2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 s="1">
        <f t="shared" si="116"/>
        <v>1295.9100000000001</v>
      </c>
      <c r="H3723" s="1" t="str">
        <f>_xlfn.XLOOKUP(C3723,Product!A:A,Product!B:B,"not found",0)</f>
        <v>Sun Bicycles Biscayne Tandem CB - 2017</v>
      </c>
      <c r="I3723" s="1">
        <f t="shared" si="117"/>
        <v>1295.9100000000001</v>
      </c>
    </row>
    <row r="3724" spans="1:9" x14ac:dyDescent="0.2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 s="1">
        <f t="shared" si="116"/>
        <v>209.89000000000001</v>
      </c>
      <c r="H3724" s="1" t="str">
        <f>_xlfn.XLOOKUP(C3724,Product!A:A,Product!B:B,"not found",0)</f>
        <v>Haro Shredder 20 Girls - 2017</v>
      </c>
      <c r="I3724" s="1">
        <f t="shared" si="117"/>
        <v>209.89000000000001</v>
      </c>
    </row>
    <row r="3725" spans="1:9" x14ac:dyDescent="0.2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 s="1">
        <f t="shared" si="116"/>
        <v>833.78</v>
      </c>
      <c r="H3725" s="1" t="str">
        <f>_xlfn.XLOOKUP(C3725,Product!A:A,Product!B:B,"not found",0)</f>
        <v>Sun Bicycles Cruz 7 - 2017</v>
      </c>
      <c r="I3725" s="1">
        <f t="shared" si="117"/>
        <v>833.78</v>
      </c>
    </row>
    <row r="3726" spans="1:9" x14ac:dyDescent="0.2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 s="1">
        <f t="shared" si="116"/>
        <v>469.89</v>
      </c>
      <c r="H3726" s="1" t="str">
        <f>_xlfn.XLOOKUP(C3726,Product!A:A,Product!B:B,"not found",0)</f>
        <v>Surly Ice Cream Truck Frameset - 2016</v>
      </c>
      <c r="I3726" s="1">
        <f t="shared" si="117"/>
        <v>469.89</v>
      </c>
    </row>
    <row r="3727" spans="1:9" x14ac:dyDescent="0.2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 s="1">
        <f t="shared" si="116"/>
        <v>833.78</v>
      </c>
      <c r="H3727" s="1" t="str">
        <f>_xlfn.XLOOKUP(C3727,Product!A:A,Product!B:B,"not found",0)</f>
        <v>Sun Bicycles Cruz 7 - Women's - 2017</v>
      </c>
      <c r="I3727" s="1">
        <f t="shared" si="117"/>
        <v>833.78</v>
      </c>
    </row>
    <row r="3728" spans="1:9" x14ac:dyDescent="0.2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 s="1">
        <f t="shared" si="116"/>
        <v>2199.91</v>
      </c>
      <c r="H3728" s="1" t="str">
        <f>_xlfn.XLOOKUP(C3728,Product!A:A,Product!B:B,"not found",0)</f>
        <v>Electra Amsterdam Fashion 7i Ladies' - 2017</v>
      </c>
      <c r="I3728" s="1">
        <f t="shared" si="117"/>
        <v>2199.91</v>
      </c>
    </row>
    <row r="3729" spans="1:9" x14ac:dyDescent="0.2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 s="1">
        <f t="shared" si="116"/>
        <v>189.92000000000002</v>
      </c>
      <c r="H3729" s="1" t="str">
        <f>_xlfn.XLOOKUP(C3729,Product!A:A,Product!B:B,"not found",0)</f>
        <v>Trek Precaliber 12 Boys - 2017</v>
      </c>
      <c r="I3729" s="1">
        <f t="shared" si="117"/>
        <v>189.92000000000002</v>
      </c>
    </row>
    <row r="3730" spans="1:9" x14ac:dyDescent="0.2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 s="1">
        <f t="shared" si="116"/>
        <v>1999.78</v>
      </c>
      <c r="H3730" s="1" t="str">
        <f>_xlfn.XLOOKUP(C3730,Product!A:A,Product!B:B,"not found",0)</f>
        <v>Surly Big Dummy Frameset - 2017</v>
      </c>
      <c r="I3730" s="1">
        <f t="shared" si="117"/>
        <v>1999.78</v>
      </c>
    </row>
    <row r="3731" spans="1:9" x14ac:dyDescent="0.2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 s="1">
        <f t="shared" si="116"/>
        <v>6999.8799999999992</v>
      </c>
      <c r="H3731" s="1" t="str">
        <f>_xlfn.XLOOKUP(C3731,Product!A:A,Product!B:B,"not found",0)</f>
        <v>Trek Boone 7 - 2017</v>
      </c>
      <c r="I3731" s="1">
        <f t="shared" si="117"/>
        <v>6999.8799999999992</v>
      </c>
    </row>
    <row r="3732" spans="1:9" x14ac:dyDescent="0.2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 s="1">
        <f t="shared" si="116"/>
        <v>551.89</v>
      </c>
      <c r="H3732" s="1" t="str">
        <f>_xlfn.XLOOKUP(C3732,Product!A:A,Product!B:B,"not found",0)</f>
        <v>Sun Bicycles Streamway 3 - 2017</v>
      </c>
      <c r="I3732" s="1">
        <f t="shared" si="117"/>
        <v>551.89</v>
      </c>
    </row>
    <row r="3733" spans="1:9" x14ac:dyDescent="0.2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 s="1">
        <f t="shared" si="116"/>
        <v>979.93000000000006</v>
      </c>
      <c r="H3733" s="1" t="str">
        <f>_xlfn.XLOOKUP(C3733,Product!A:A,Product!B:B,"not found",0)</f>
        <v>Electra Townie 3i EQ (20-inch) - Boys' - 2017</v>
      </c>
      <c r="I3733" s="1">
        <f t="shared" si="117"/>
        <v>979.93000000000006</v>
      </c>
    </row>
    <row r="3734" spans="1:9" x14ac:dyDescent="0.2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 s="1">
        <f t="shared" si="116"/>
        <v>749.79</v>
      </c>
      <c r="H3734" s="1" t="str">
        <f>_xlfn.XLOOKUP(C3734,Product!A:A,Product!B:B,"not found",0)</f>
        <v>Sun Bicycles Brickell Tandem 7 - 2017</v>
      </c>
      <c r="I3734" s="1">
        <f t="shared" si="117"/>
        <v>749.79</v>
      </c>
    </row>
    <row r="3735" spans="1:9" x14ac:dyDescent="0.2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 s="1">
        <f t="shared" si="116"/>
        <v>979.78</v>
      </c>
      <c r="H3735" s="1" t="str">
        <f>_xlfn.XLOOKUP(C3735,Product!A:A,Product!B:B,"not found",0)</f>
        <v>Electra Townie Original 7D - 2017</v>
      </c>
      <c r="I3735" s="1">
        <f t="shared" si="117"/>
        <v>979.78</v>
      </c>
    </row>
    <row r="3736" spans="1:9" x14ac:dyDescent="0.2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 s="1">
        <f t="shared" si="116"/>
        <v>6999.8799999999992</v>
      </c>
      <c r="H3736" s="1" t="str">
        <f>_xlfn.XLOOKUP(C3736,Product!A:A,Product!B:B,"not found",0)</f>
        <v>Trek Boone 7 - 2017</v>
      </c>
      <c r="I3736" s="1">
        <f t="shared" si="117"/>
        <v>6999.8799999999992</v>
      </c>
    </row>
    <row r="3737" spans="1:9" x14ac:dyDescent="0.2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 s="1">
        <f t="shared" si="116"/>
        <v>857.93</v>
      </c>
      <c r="H3737" s="1" t="str">
        <f>_xlfn.XLOOKUP(C3737,Product!A:A,Product!B:B,"not found",0)</f>
        <v>Pure Cycles Vine 8-Speed - 2016</v>
      </c>
      <c r="I3737" s="1">
        <f t="shared" si="117"/>
        <v>857.93</v>
      </c>
    </row>
    <row r="3738" spans="1:9" x14ac:dyDescent="0.2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 s="1">
        <f t="shared" si="116"/>
        <v>209.94</v>
      </c>
      <c r="H3738" s="1" t="str">
        <f>_xlfn.XLOOKUP(C3738,Product!A:A,Product!B:B,"not found",0)</f>
        <v>Trek Precaliber 16 Boys - 2017</v>
      </c>
      <c r="I3738" s="1">
        <f t="shared" si="117"/>
        <v>209.94</v>
      </c>
    </row>
    <row r="3739" spans="1:9" x14ac:dyDescent="0.2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 s="1">
        <f t="shared" si="116"/>
        <v>999.89</v>
      </c>
      <c r="H3739" s="1" t="str">
        <f>_xlfn.XLOOKUP(C3739,Product!A:A,Product!B:B,"not found",0)</f>
        <v>Surly Wednesday Frameset - 2016</v>
      </c>
      <c r="I3739" s="1">
        <f t="shared" si="117"/>
        <v>999.89</v>
      </c>
    </row>
    <row r="3740" spans="1:9" x14ac:dyDescent="0.2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 s="1">
        <f t="shared" si="116"/>
        <v>1199.93</v>
      </c>
      <c r="H3740" s="1" t="str">
        <f>_xlfn.XLOOKUP(C3740,Product!A:A,Product!B:B,"not found",0)</f>
        <v>Electra Cruiser Lux Fat Tire 1 Ladies - 2017</v>
      </c>
      <c r="I3740" s="1">
        <f t="shared" si="117"/>
        <v>1199.93</v>
      </c>
    </row>
    <row r="3741" spans="1:9" x14ac:dyDescent="0.2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 s="1">
        <f t="shared" si="116"/>
        <v>832.94</v>
      </c>
      <c r="H3741" s="1" t="str">
        <f>_xlfn.XLOOKUP(C3741,Product!A:A,Product!B:B,"not found",0)</f>
        <v>Surly Troll Frameset - 2017</v>
      </c>
      <c r="I3741" s="1">
        <f t="shared" si="117"/>
        <v>832.94</v>
      </c>
    </row>
    <row r="3742" spans="1:9" x14ac:dyDescent="0.2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 s="1">
        <f t="shared" si="116"/>
        <v>419.88</v>
      </c>
      <c r="H3742" s="1" t="str">
        <f>_xlfn.XLOOKUP(C3742,Product!A:A,Product!B:B,"not found",0)</f>
        <v>Haro Shredder 20 - 2017</v>
      </c>
      <c r="I3742" s="1">
        <f t="shared" si="117"/>
        <v>419.88</v>
      </c>
    </row>
    <row r="3743" spans="1:9" x14ac:dyDescent="0.2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 s="1">
        <f t="shared" si="116"/>
        <v>1999.89</v>
      </c>
      <c r="H3743" s="1" t="str">
        <f>_xlfn.XLOOKUP(C3743,Product!A:A,Product!B:B,"not found",0)</f>
        <v>Trek Emonda S 5 - 2017</v>
      </c>
      <c r="I3743" s="1">
        <f t="shared" si="117"/>
        <v>1999.89</v>
      </c>
    </row>
    <row r="3744" spans="1:9" x14ac:dyDescent="0.2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 s="1">
        <f t="shared" si="116"/>
        <v>9999.93</v>
      </c>
      <c r="H3744" s="1" t="str">
        <f>_xlfn.XLOOKUP(C3744,Product!A:A,Product!B:B,"not found",0)</f>
        <v>Trek Madone 9.2 - 2017</v>
      </c>
      <c r="I3744" s="1">
        <f t="shared" si="117"/>
        <v>9999.93</v>
      </c>
    </row>
    <row r="3745" spans="1:9" x14ac:dyDescent="0.2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 s="1">
        <f t="shared" si="116"/>
        <v>659.92</v>
      </c>
      <c r="H3745" s="1" t="str">
        <f>_xlfn.XLOOKUP(C3745,Product!A:A,Product!B:B,"not found",0)</f>
        <v>Electra Amsterdam Original 3i - 2015/2017</v>
      </c>
      <c r="I3745" s="1">
        <f t="shared" si="117"/>
        <v>659.92</v>
      </c>
    </row>
    <row r="3746" spans="1:9" x14ac:dyDescent="0.2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 s="1">
        <f t="shared" si="116"/>
        <v>379.88</v>
      </c>
      <c r="H3746" s="1" t="str">
        <f>_xlfn.XLOOKUP(C3746,Product!A:A,Product!B:B,"not found",0)</f>
        <v>Trek Precaliber 12 Girls - 2017</v>
      </c>
      <c r="I3746" s="1">
        <f t="shared" si="117"/>
        <v>379.88</v>
      </c>
    </row>
    <row r="3747" spans="1:9" x14ac:dyDescent="0.2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 s="1">
        <f t="shared" si="116"/>
        <v>879.93000000000006</v>
      </c>
      <c r="H3747" s="1" t="str">
        <f>_xlfn.XLOOKUP(C3747,Product!A:A,Product!B:B,"not found",0)</f>
        <v>Electra Cruiser Lux 1 - 2017</v>
      </c>
      <c r="I3747" s="1">
        <f t="shared" si="117"/>
        <v>879.93000000000006</v>
      </c>
    </row>
    <row r="3748" spans="1:9" x14ac:dyDescent="0.2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 s="1">
        <f t="shared" si="116"/>
        <v>1099.9100000000001</v>
      </c>
      <c r="H3748" s="1" t="str">
        <f>_xlfn.XLOOKUP(C3748,Product!A:A,Product!B:B,"not found",0)</f>
        <v>Haro Flightline Two 26 Plus - 2017</v>
      </c>
      <c r="I3748" s="1">
        <f t="shared" si="117"/>
        <v>1099.9100000000001</v>
      </c>
    </row>
    <row r="3749" spans="1:9" x14ac:dyDescent="0.2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 s="1">
        <f t="shared" si="116"/>
        <v>599.93000000000006</v>
      </c>
      <c r="H3749" s="1" t="str">
        <f>_xlfn.XLOOKUP(C3749,Product!A:A,Product!B:B,"not found",0)</f>
        <v>Electra Girl's Hawaii 1 16" - 2017</v>
      </c>
      <c r="I3749" s="1">
        <f t="shared" si="117"/>
        <v>599.93000000000006</v>
      </c>
    </row>
    <row r="3750" spans="1:9" x14ac:dyDescent="0.2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 s="1">
        <f t="shared" si="116"/>
        <v>539.94000000000005</v>
      </c>
      <c r="H3750" s="1" t="str">
        <f>_xlfn.XLOOKUP(C3750,Product!A:A,Product!B:B,"not found",0)</f>
        <v>Haro SR 1.1 - 2017</v>
      </c>
      <c r="I3750" s="1">
        <f t="shared" si="117"/>
        <v>539.94000000000005</v>
      </c>
    </row>
    <row r="3751" spans="1:9" x14ac:dyDescent="0.2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 s="1">
        <f t="shared" si="116"/>
        <v>2641.78</v>
      </c>
      <c r="H3751" s="1" t="str">
        <f>_xlfn.XLOOKUP(C3751,Product!A:A,Product!B:B,"not found",0)</f>
        <v>Heller Shagamaw Frame - 2016</v>
      </c>
      <c r="I3751" s="1">
        <f t="shared" si="117"/>
        <v>2641.78</v>
      </c>
    </row>
    <row r="3752" spans="1:9" x14ac:dyDescent="0.2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 s="1">
        <f t="shared" si="116"/>
        <v>4999.79</v>
      </c>
      <c r="H3752" s="1" t="str">
        <f>_xlfn.XLOOKUP(C3752,Product!A:A,Product!B:B,"not found",0)</f>
        <v>Trek Powerfly 8 FS Plus - 2017</v>
      </c>
      <c r="I3752" s="1">
        <f t="shared" si="117"/>
        <v>4999.79</v>
      </c>
    </row>
    <row r="3753" spans="1:9" x14ac:dyDescent="0.2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 s="1">
        <f t="shared" si="116"/>
        <v>875.94</v>
      </c>
      <c r="H3753" s="1" t="str">
        <f>_xlfn.XLOOKUP(C3753,Product!A:A,Product!B:B,"not found",0)</f>
        <v>Surly Steamroller - 2017</v>
      </c>
      <c r="I3753" s="1">
        <f t="shared" si="117"/>
        <v>875.94</v>
      </c>
    </row>
    <row r="3754" spans="1:9" x14ac:dyDescent="0.2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 s="1">
        <f t="shared" si="116"/>
        <v>999.93000000000006</v>
      </c>
      <c r="H3754" s="1" t="str">
        <f>_xlfn.XLOOKUP(C3754,Product!A:A,Product!B:B,"not found",0)</f>
        <v>Electra Townie Original 7D - 2015/2016</v>
      </c>
      <c r="I3754" s="1">
        <f t="shared" si="117"/>
        <v>999.93000000000006</v>
      </c>
    </row>
    <row r="3755" spans="1:9" x14ac:dyDescent="0.2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 s="1">
        <f t="shared" si="116"/>
        <v>209.89000000000001</v>
      </c>
      <c r="H3755" s="1" t="str">
        <f>_xlfn.XLOOKUP(C3755,Product!A:A,Product!B:B,"not found",0)</f>
        <v>Trek Precaliber 16 Girls - 2017</v>
      </c>
      <c r="I3755" s="1">
        <f t="shared" si="117"/>
        <v>209.89000000000001</v>
      </c>
    </row>
    <row r="3756" spans="1:9" x14ac:dyDescent="0.2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 s="1">
        <f t="shared" si="116"/>
        <v>599.94000000000005</v>
      </c>
      <c r="H3756" s="1" t="str">
        <f>_xlfn.XLOOKUP(C3756,Product!A:A,Product!B:B,"not found",0)</f>
        <v>Electra Townie Original 7D EQ - 2016</v>
      </c>
      <c r="I3756" s="1">
        <f t="shared" si="117"/>
        <v>599.94000000000005</v>
      </c>
    </row>
    <row r="3757" spans="1:9" x14ac:dyDescent="0.2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 s="1">
        <f t="shared" si="116"/>
        <v>1499.88</v>
      </c>
      <c r="H3757" s="1" t="str">
        <f>_xlfn.XLOOKUP(C3757,Product!A:A,Product!B:B,"not found",0)</f>
        <v>Ritchey Timberwolf Frameset - 2016</v>
      </c>
      <c r="I3757" s="1">
        <f t="shared" si="117"/>
        <v>1499.88</v>
      </c>
    </row>
    <row r="3758" spans="1:9" x14ac:dyDescent="0.2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 s="1">
        <f t="shared" si="116"/>
        <v>963.91</v>
      </c>
      <c r="H3758" s="1" t="str">
        <f>_xlfn.XLOOKUP(C3758,Product!A:A,Product!B:B,"not found",0)</f>
        <v>Sun Bicycles Streamway - 2017</v>
      </c>
      <c r="I3758" s="1">
        <f t="shared" si="117"/>
        <v>963.91</v>
      </c>
    </row>
    <row r="3759" spans="1:9" x14ac:dyDescent="0.2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 s="1">
        <f t="shared" si="116"/>
        <v>5299.94</v>
      </c>
      <c r="H3759" s="1" t="str">
        <f>_xlfn.XLOOKUP(C3759,Product!A:A,Product!B:B,"not found",0)</f>
        <v>Trek Fuel EX 9.8 27.5 Plus - 2017</v>
      </c>
      <c r="I3759" s="1">
        <f t="shared" si="117"/>
        <v>5299.94</v>
      </c>
    </row>
    <row r="3760" spans="1:9" x14ac:dyDescent="0.2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 s="1">
        <f t="shared" si="116"/>
        <v>12999.93</v>
      </c>
      <c r="H3760" s="1" t="str">
        <f>_xlfn.XLOOKUP(C3760,Product!A:A,Product!B:B,"not found",0)</f>
        <v>Trek Silque SLR 8 Women's - 2017</v>
      </c>
      <c r="I3760" s="1">
        <f t="shared" si="117"/>
        <v>12999.93</v>
      </c>
    </row>
    <row r="3761" spans="1:9" x14ac:dyDescent="0.2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 s="1">
        <f t="shared" si="116"/>
        <v>2599.9399999999996</v>
      </c>
      <c r="H3761" s="1" t="str">
        <f>_xlfn.XLOOKUP(C3761,Product!A:A,Product!B:B,"not found",0)</f>
        <v>Trek Domane S 5 Disc - 2017</v>
      </c>
      <c r="I3761" s="1">
        <f t="shared" si="117"/>
        <v>2599.9399999999996</v>
      </c>
    </row>
    <row r="3762" spans="1:9" x14ac:dyDescent="0.2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 s="1">
        <f t="shared" si="116"/>
        <v>941.91</v>
      </c>
      <c r="H3762" s="1" t="str">
        <f>_xlfn.XLOOKUP(C3762,Product!A:A,Product!B:B,"not found",0)</f>
        <v>Sun Bicycles Drifter 7 - 2017</v>
      </c>
      <c r="I3762" s="1">
        <f t="shared" si="117"/>
        <v>941.91</v>
      </c>
    </row>
    <row r="3763" spans="1:9" x14ac:dyDescent="0.2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 s="1">
        <f t="shared" si="116"/>
        <v>539.88</v>
      </c>
      <c r="H3763" s="1" t="str">
        <f>_xlfn.XLOOKUP(C3763,Product!A:A,Product!B:B,"not found",0)</f>
        <v>Electra Girl's Hawaii 1 (16-inch) - 2015/2016</v>
      </c>
      <c r="I3763" s="1">
        <f t="shared" si="117"/>
        <v>539.88</v>
      </c>
    </row>
    <row r="3764" spans="1:9" x14ac:dyDescent="0.2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 s="1">
        <f t="shared" si="116"/>
        <v>339.94</v>
      </c>
      <c r="H3764" s="1" t="str">
        <f>_xlfn.XLOOKUP(C3764,Product!A:A,Product!B:B,"not found",0)</f>
        <v>Electra Townie 7D (20-inch) - Boys' - 2017</v>
      </c>
      <c r="I3764" s="1">
        <f t="shared" si="117"/>
        <v>339.94</v>
      </c>
    </row>
    <row r="3765" spans="1:9" x14ac:dyDescent="0.2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 s="1">
        <f t="shared" si="116"/>
        <v>599.94000000000005</v>
      </c>
      <c r="H3765" s="1" t="str">
        <f>_xlfn.XLOOKUP(C3765,Product!A:A,Product!B:B,"not found",0)</f>
        <v>Electra Cruiser Lux Fat Tire 1 Ladies - 2017</v>
      </c>
      <c r="I3765" s="1">
        <f t="shared" si="117"/>
        <v>599.94000000000005</v>
      </c>
    </row>
    <row r="3766" spans="1:9" x14ac:dyDescent="0.2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 s="1">
        <f t="shared" si="116"/>
        <v>1751.78</v>
      </c>
      <c r="H3766" s="1" t="str">
        <f>_xlfn.XLOOKUP(C3766,Product!A:A,Product!B:B,"not found",0)</f>
        <v>Surly Steamroller - 2017</v>
      </c>
      <c r="I3766" s="1">
        <f t="shared" si="117"/>
        <v>1751.78</v>
      </c>
    </row>
    <row r="3767" spans="1:9" x14ac:dyDescent="0.2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 s="1">
        <f t="shared" si="116"/>
        <v>679.91</v>
      </c>
      <c r="H3767" s="1" t="str">
        <f>_xlfn.XLOOKUP(C3767,Product!A:A,Product!B:B,"not found",0)</f>
        <v>Electra Townie 7D (20-inch) - Boys' - 2017</v>
      </c>
      <c r="I3767" s="1">
        <f t="shared" si="117"/>
        <v>679.91</v>
      </c>
    </row>
    <row r="3768" spans="1:9" x14ac:dyDescent="0.2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 s="1">
        <f t="shared" si="116"/>
        <v>9999.93</v>
      </c>
      <c r="H3768" s="1" t="str">
        <f>_xlfn.XLOOKUP(C3768,Product!A:A,Product!B:B,"not found",0)</f>
        <v>Trek Madone 9.2 - 2017</v>
      </c>
      <c r="I3768" s="1">
        <f t="shared" si="117"/>
        <v>9999.93</v>
      </c>
    </row>
    <row r="3769" spans="1:9" x14ac:dyDescent="0.2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 s="1">
        <f t="shared" si="116"/>
        <v>1739.78</v>
      </c>
      <c r="H3769" s="1" t="str">
        <f>_xlfn.XLOOKUP(C3769,Product!A:A,Product!B:B,"not found",0)</f>
        <v>Haro SR 1.2 - 2017</v>
      </c>
      <c r="I3769" s="1">
        <f t="shared" si="117"/>
        <v>1739.78</v>
      </c>
    </row>
    <row r="3770" spans="1:9" x14ac:dyDescent="0.2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 s="1">
        <f t="shared" si="116"/>
        <v>1067.8800000000001</v>
      </c>
      <c r="H3770" s="1" t="str">
        <f>_xlfn.XLOOKUP(C3770,Product!A:A,Product!B:B,"not found",0)</f>
        <v>Sun Bicycles Streamway 7 - 2017</v>
      </c>
      <c r="I3770" s="1">
        <f t="shared" si="117"/>
        <v>1067.8800000000001</v>
      </c>
    </row>
    <row r="3771" spans="1:9" x14ac:dyDescent="0.2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 s="1">
        <f t="shared" si="116"/>
        <v>1799.79</v>
      </c>
      <c r="H3771" s="1" t="str">
        <f>_xlfn.XLOOKUP(C3771,Product!A:A,Product!B:B,"not found",0)</f>
        <v>Trek Remedy 29 Carbon Frameset - 2016</v>
      </c>
      <c r="I3771" s="1">
        <f t="shared" si="117"/>
        <v>1799.79</v>
      </c>
    </row>
    <row r="3772" spans="1:9" x14ac:dyDescent="0.2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 s="1">
        <f t="shared" si="116"/>
        <v>549.94000000000005</v>
      </c>
      <c r="H3772" s="1" t="str">
        <f>_xlfn.XLOOKUP(C3772,Product!A:A,Product!B:B,"not found",0)</f>
        <v>Haro Flightline Two 26 Plus - 2017</v>
      </c>
      <c r="I3772" s="1">
        <f t="shared" si="117"/>
        <v>549.94000000000005</v>
      </c>
    </row>
    <row r="3773" spans="1:9" x14ac:dyDescent="0.2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 s="1">
        <f t="shared" si="116"/>
        <v>1199.8800000000001</v>
      </c>
      <c r="H3773" s="1" t="str">
        <f>_xlfn.XLOOKUP(C3773,Product!A:A,Product!B:B,"not found",0)</f>
        <v>Electra Townie Original 7D EQ - Women's - 2016</v>
      </c>
      <c r="I3773" s="1">
        <f t="shared" si="117"/>
        <v>1199.8800000000001</v>
      </c>
    </row>
    <row r="3774" spans="1:9" x14ac:dyDescent="0.2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 s="1">
        <f t="shared" si="116"/>
        <v>10999.91</v>
      </c>
      <c r="H3774" s="1" t="str">
        <f>_xlfn.XLOOKUP(C3774,Product!A:A,Product!B:B,"not found",0)</f>
        <v>Trek Domane SLR 6 Disc - 2017</v>
      </c>
      <c r="I3774" s="1">
        <f t="shared" si="117"/>
        <v>10999.91</v>
      </c>
    </row>
    <row r="3775" spans="1:9" x14ac:dyDescent="0.2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 s="1">
        <f t="shared" si="116"/>
        <v>349.89</v>
      </c>
      <c r="H3775" s="1" t="str">
        <f>_xlfn.XLOOKUP(C3775,Product!A:A,Product!B:B,"not found",0)</f>
        <v>Electra Moto 3i (20-inch) - Boy's - 2017</v>
      </c>
      <c r="I3775" s="1">
        <f t="shared" si="117"/>
        <v>349.89</v>
      </c>
    </row>
    <row r="3776" spans="1:9" x14ac:dyDescent="0.2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 s="1">
        <f t="shared" si="116"/>
        <v>6999.78</v>
      </c>
      <c r="H3776" s="1" t="str">
        <f>_xlfn.XLOOKUP(C3776,Product!A:A,Product!B:B,"not found",0)</f>
        <v>Trek Boone Race Shop Limited - 2017</v>
      </c>
      <c r="I3776" s="1">
        <f t="shared" si="117"/>
        <v>6999.78</v>
      </c>
    </row>
    <row r="3777" spans="1:9" x14ac:dyDescent="0.2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 s="1">
        <f t="shared" si="116"/>
        <v>449.89</v>
      </c>
      <c r="H3777" s="1" t="str">
        <f>_xlfn.XLOOKUP(C3777,Product!A:A,Product!B:B,"not found",0)</f>
        <v>Sun Bicycles Cruz 3 - Women's - 2017</v>
      </c>
      <c r="I3777" s="1">
        <f t="shared" si="117"/>
        <v>449.89</v>
      </c>
    </row>
    <row r="3778" spans="1:9" x14ac:dyDescent="0.2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 s="1">
        <f t="shared" si="116"/>
        <v>749.89</v>
      </c>
      <c r="H3778" s="1" t="str">
        <f>_xlfn.XLOOKUP(C3778,Product!A:A,Product!B:B,"not found",0)</f>
        <v>Sun Bicycles Brickell Tandem 7 - 2017</v>
      </c>
      <c r="I3778" s="1">
        <f t="shared" si="117"/>
        <v>749.89</v>
      </c>
    </row>
    <row r="3779" spans="1:9" x14ac:dyDescent="0.2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 s="1">
        <f t="shared" ref="G3779:G3842" si="118">(E3779*D3779)-F3779</f>
        <v>1099.8800000000001</v>
      </c>
      <c r="H3779" s="1" t="str">
        <f>_xlfn.XLOOKUP(C3779,Product!A:A,Product!B:B,"not found",0)</f>
        <v>Electra Townie Original 21D - 2016</v>
      </c>
      <c r="I3779" s="1">
        <f t="shared" ref="I3779:I3842" si="119">(D3779*E3779)-F3779</f>
        <v>1099.8800000000001</v>
      </c>
    </row>
    <row r="3780" spans="1:9" x14ac:dyDescent="0.2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 s="1">
        <f t="shared" si="118"/>
        <v>761.94</v>
      </c>
      <c r="H3780" s="1" t="str">
        <f>_xlfn.XLOOKUP(C3780,Product!A:A,Product!B:B,"not found",0)</f>
        <v>Sun Bicycles Brickell Tandem CB - 2017</v>
      </c>
      <c r="I3780" s="1">
        <f t="shared" si="119"/>
        <v>761.94</v>
      </c>
    </row>
    <row r="3781" spans="1:9" x14ac:dyDescent="0.2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 s="1">
        <f t="shared" si="118"/>
        <v>599.93000000000006</v>
      </c>
      <c r="H3781" s="1" t="str">
        <f>_xlfn.XLOOKUP(C3781,Product!A:A,Product!B:B,"not found",0)</f>
        <v>Electra Sugar Skulls 1 (20-inch) - Girl's - 2017</v>
      </c>
      <c r="I3781" s="1">
        <f t="shared" si="119"/>
        <v>599.93000000000006</v>
      </c>
    </row>
    <row r="3782" spans="1:9" x14ac:dyDescent="0.2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 s="1">
        <f t="shared" si="118"/>
        <v>489.79</v>
      </c>
      <c r="H3782" s="1" t="str">
        <f>_xlfn.XLOOKUP(C3782,Product!A:A,Product!B:B,"not found",0)</f>
        <v>Electra Townie Original 7D - 2017</v>
      </c>
      <c r="I3782" s="1">
        <f t="shared" si="119"/>
        <v>489.79</v>
      </c>
    </row>
    <row r="3783" spans="1:9" x14ac:dyDescent="0.2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 s="1">
        <f t="shared" si="118"/>
        <v>428.95</v>
      </c>
      <c r="H3783" s="1" t="str">
        <f>_xlfn.XLOOKUP(C3783,Product!A:A,Product!B:B,"not found",0)</f>
        <v>Pure Cycles Vine 8-Speed - 2016</v>
      </c>
      <c r="I3783" s="1">
        <f t="shared" si="119"/>
        <v>428.95</v>
      </c>
    </row>
    <row r="3784" spans="1:9" x14ac:dyDescent="0.2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 s="1">
        <f t="shared" si="118"/>
        <v>329.79</v>
      </c>
      <c r="H3784" s="1" t="str">
        <f>_xlfn.XLOOKUP(C3784,Product!A:A,Product!B:B,"not found",0)</f>
        <v>Haro Downtown 16 - 2017</v>
      </c>
      <c r="I3784" s="1">
        <f t="shared" si="119"/>
        <v>329.79</v>
      </c>
    </row>
    <row r="3785" spans="1:9" x14ac:dyDescent="0.2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 s="1">
        <f t="shared" si="118"/>
        <v>2999.9199999999996</v>
      </c>
      <c r="H3785" s="1" t="str">
        <f>_xlfn.XLOOKUP(C3785,Product!A:A,Product!B:B,"not found",0)</f>
        <v>Trek Conduit+ - 2016</v>
      </c>
      <c r="I3785" s="1">
        <f t="shared" si="119"/>
        <v>2999.9199999999996</v>
      </c>
    </row>
    <row r="3786" spans="1:9" x14ac:dyDescent="0.2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 s="1">
        <f t="shared" si="118"/>
        <v>1680.94</v>
      </c>
      <c r="H3786" s="1" t="str">
        <f>_xlfn.XLOOKUP(C3786,Product!A:A,Product!B:B,"not found",0)</f>
        <v>Surly Straggler 650b - 2016</v>
      </c>
      <c r="I3786" s="1">
        <f t="shared" si="119"/>
        <v>1680.94</v>
      </c>
    </row>
    <row r="3787" spans="1:9" x14ac:dyDescent="0.2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 s="1">
        <f t="shared" si="118"/>
        <v>699.93000000000006</v>
      </c>
      <c r="H3787" s="1" t="str">
        <f>_xlfn.XLOOKUP(C3787,Product!A:A,Product!B:B,"not found",0)</f>
        <v>Trek Precaliber 24 (21-Speed) - Girls - 2017</v>
      </c>
      <c r="I3787" s="1">
        <f t="shared" si="119"/>
        <v>699.93000000000006</v>
      </c>
    </row>
    <row r="3788" spans="1:9" x14ac:dyDescent="0.2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 s="1">
        <f t="shared" si="118"/>
        <v>1103.93</v>
      </c>
      <c r="H3788" s="1" t="str">
        <f>_xlfn.XLOOKUP(C3788,Product!A:A,Product!B:B,"not found",0)</f>
        <v>Sun Bicycles Streamway 3 - 2017</v>
      </c>
      <c r="I3788" s="1">
        <f t="shared" si="119"/>
        <v>1103.93</v>
      </c>
    </row>
    <row r="3789" spans="1:9" x14ac:dyDescent="0.2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 s="1">
        <f t="shared" si="118"/>
        <v>2199.91</v>
      </c>
      <c r="H3789" s="1" t="str">
        <f>_xlfn.XLOOKUP(C3789,Product!A:A,Product!B:B,"not found",0)</f>
        <v>Electra Amsterdam Fashion 7i Ladies' - 2017</v>
      </c>
      <c r="I3789" s="1">
        <f t="shared" si="119"/>
        <v>2199.91</v>
      </c>
    </row>
    <row r="3790" spans="1:9" x14ac:dyDescent="0.2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 s="1">
        <f t="shared" si="118"/>
        <v>869.79</v>
      </c>
      <c r="H3790" s="1" t="str">
        <f>_xlfn.XLOOKUP(C3790,Product!A:A,Product!B:B,"not found",0)</f>
        <v>Haro SR 1.2 - 2017</v>
      </c>
      <c r="I3790" s="1">
        <f t="shared" si="119"/>
        <v>869.79</v>
      </c>
    </row>
    <row r="3791" spans="1:9" x14ac:dyDescent="0.2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 s="1">
        <f t="shared" si="118"/>
        <v>2299.79</v>
      </c>
      <c r="H3791" s="1" t="str">
        <f>_xlfn.XLOOKUP(C3791,Product!A:A,Product!B:B,"not found",0)</f>
        <v>Trek Fuel EX 5 27.5 Plus - 2017</v>
      </c>
      <c r="I3791" s="1">
        <f t="shared" si="119"/>
        <v>2299.79</v>
      </c>
    </row>
    <row r="3792" spans="1:9" x14ac:dyDescent="0.2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 s="1">
        <f t="shared" si="118"/>
        <v>5999.91</v>
      </c>
      <c r="H3792" s="1" t="str">
        <f>_xlfn.XLOOKUP(C3792,Product!A:A,Product!B:B,"not found",0)</f>
        <v>Trek Conduit+ - 2016</v>
      </c>
      <c r="I3792" s="1">
        <f t="shared" si="119"/>
        <v>5999.91</v>
      </c>
    </row>
    <row r="3793" spans="1:9" x14ac:dyDescent="0.2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 s="1">
        <f t="shared" si="118"/>
        <v>699.91</v>
      </c>
      <c r="H3793" s="1" t="str">
        <f>_xlfn.XLOOKUP(C3793,Product!A:A,Product!B:B,"not found",0)</f>
        <v>Electra Moto 3i (20-inch) - Boy's - 2017</v>
      </c>
      <c r="I3793" s="1">
        <f t="shared" si="119"/>
        <v>699.91</v>
      </c>
    </row>
    <row r="3794" spans="1:9" x14ac:dyDescent="0.2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 s="1">
        <f t="shared" si="118"/>
        <v>1499.78</v>
      </c>
      <c r="H3794" s="1" t="str">
        <f>_xlfn.XLOOKUP(C3794,Product!A:A,Product!B:B,"not found",0)</f>
        <v>Surly Ogre Frameset - 2017</v>
      </c>
      <c r="I3794" s="1">
        <f t="shared" si="119"/>
        <v>1499.78</v>
      </c>
    </row>
    <row r="3795" spans="1:9" x14ac:dyDescent="0.2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 s="1">
        <f t="shared" si="118"/>
        <v>833.78</v>
      </c>
      <c r="H3795" s="1" t="str">
        <f>_xlfn.XLOOKUP(C3795,Product!A:A,Product!B:B,"not found",0)</f>
        <v>Sun Bicycles Cruz 7 - 2017</v>
      </c>
      <c r="I3795" s="1">
        <f t="shared" si="119"/>
        <v>833.78</v>
      </c>
    </row>
    <row r="3796" spans="1:9" x14ac:dyDescent="0.2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 s="1">
        <f t="shared" si="118"/>
        <v>3199.9399999999996</v>
      </c>
      <c r="H3796" s="1" t="str">
        <f>_xlfn.XLOOKUP(C3796,Product!A:A,Product!B:B,"not found",0)</f>
        <v>Trek Domane SL Disc Frameset - 2017</v>
      </c>
      <c r="I3796" s="1">
        <f t="shared" si="119"/>
        <v>3199.9399999999996</v>
      </c>
    </row>
    <row r="3797" spans="1:9" x14ac:dyDescent="0.2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 s="1">
        <f t="shared" si="118"/>
        <v>416.79</v>
      </c>
      <c r="H3797" s="1" t="str">
        <f>_xlfn.XLOOKUP(C3797,Product!A:A,Product!B:B,"not found",0)</f>
        <v>Sun Bicycles Cruz 7 - 2017</v>
      </c>
      <c r="I3797" s="1">
        <f t="shared" si="119"/>
        <v>416.79</v>
      </c>
    </row>
    <row r="3798" spans="1:9" x14ac:dyDescent="0.2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 s="1">
        <f t="shared" si="118"/>
        <v>539.91</v>
      </c>
      <c r="H3798" s="1" t="str">
        <f>_xlfn.XLOOKUP(C3798,Product!A:A,Product!B:B,"not found",0)</f>
        <v>Electra Girl's Hawaii 1 (16-inch) - 2015/2016</v>
      </c>
      <c r="I3798" s="1">
        <f t="shared" si="119"/>
        <v>539.91</v>
      </c>
    </row>
    <row r="3799" spans="1:9" x14ac:dyDescent="0.2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 s="1">
        <f t="shared" si="118"/>
        <v>5499.79</v>
      </c>
      <c r="H3799" s="1" t="str">
        <f>_xlfn.XLOOKUP(C3799,Product!A:A,Product!B:B,"not found",0)</f>
        <v>Trek Domane SLR 6 Disc - 2017</v>
      </c>
      <c r="I3799" s="1">
        <f t="shared" si="119"/>
        <v>5499.79</v>
      </c>
    </row>
    <row r="3800" spans="1:9" x14ac:dyDescent="0.2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 s="1">
        <f t="shared" si="118"/>
        <v>469.92</v>
      </c>
      <c r="H3800" s="1" t="str">
        <f>_xlfn.XLOOKUP(C3800,Product!A:A,Product!B:B,"not found",0)</f>
        <v>Trek Farley Alloy Frameset - 2017</v>
      </c>
      <c r="I3800" s="1">
        <f t="shared" si="119"/>
        <v>469.92</v>
      </c>
    </row>
    <row r="3801" spans="1:9" x14ac:dyDescent="0.2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 s="1">
        <f t="shared" si="118"/>
        <v>346.94</v>
      </c>
      <c r="H3801" s="1" t="str">
        <f>_xlfn.XLOOKUP(C3801,Product!A:A,Product!B:B,"not found",0)</f>
        <v>Sun Bicycles Lil Bolt Type-R - 2017</v>
      </c>
      <c r="I3801" s="1">
        <f t="shared" si="119"/>
        <v>346.94</v>
      </c>
    </row>
    <row r="3802" spans="1:9" x14ac:dyDescent="0.2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 s="1">
        <f t="shared" si="118"/>
        <v>379.78000000000003</v>
      </c>
      <c r="H3802" s="1" t="str">
        <f>_xlfn.XLOOKUP(C3802,Product!A:A,Product!B:B,"not found",0)</f>
        <v>Trek Precaliber 12 Boys - 2017</v>
      </c>
      <c r="I3802" s="1">
        <f t="shared" si="119"/>
        <v>379.78000000000003</v>
      </c>
    </row>
    <row r="3803" spans="1:9" x14ac:dyDescent="0.2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 s="1">
        <f t="shared" si="118"/>
        <v>2599.79</v>
      </c>
      <c r="H3803" s="1" t="str">
        <f>_xlfn.XLOOKUP(C3803,Product!A:A,Product!B:B,"not found",0)</f>
        <v>Trek Domane S 5 Disc - 2017</v>
      </c>
      <c r="I3803" s="1">
        <f t="shared" si="119"/>
        <v>2599.79</v>
      </c>
    </row>
    <row r="3804" spans="1:9" x14ac:dyDescent="0.2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 s="1">
        <f t="shared" si="118"/>
        <v>1599.78</v>
      </c>
      <c r="H3804" s="1" t="str">
        <f>_xlfn.XLOOKUP(C3804,Product!A:A,Product!B:B,"not found",0)</f>
        <v>Electra Glam Punk 3i Ladies' - 2017</v>
      </c>
      <c r="I3804" s="1">
        <f t="shared" si="119"/>
        <v>1599.78</v>
      </c>
    </row>
    <row r="3805" spans="1:9" x14ac:dyDescent="0.2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 s="1">
        <f t="shared" si="118"/>
        <v>3361.88</v>
      </c>
      <c r="H3805" s="1" t="str">
        <f>_xlfn.XLOOKUP(C3805,Product!A:A,Product!B:B,"not found",0)</f>
        <v>Surly Straggler 650b - 2016</v>
      </c>
      <c r="I3805" s="1">
        <f t="shared" si="119"/>
        <v>3361.88</v>
      </c>
    </row>
    <row r="3806" spans="1:9" x14ac:dyDescent="0.2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 s="1">
        <f t="shared" si="118"/>
        <v>3199.79</v>
      </c>
      <c r="H3806" s="1" t="str">
        <f>_xlfn.XLOOKUP(C3806,Product!A:A,Product!B:B,"not found",0)</f>
        <v>Trek Domane SL Disc Frameset - 2017</v>
      </c>
      <c r="I3806" s="1">
        <f t="shared" si="119"/>
        <v>3199.79</v>
      </c>
    </row>
    <row r="3807" spans="1:9" x14ac:dyDescent="0.2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 s="1">
        <f t="shared" si="118"/>
        <v>416.89</v>
      </c>
      <c r="H3807" s="1" t="str">
        <f>_xlfn.XLOOKUP(C3807,Product!A:A,Product!B:B,"not found",0)</f>
        <v>Sun Bicycles Cruz 7 - 2017</v>
      </c>
      <c r="I3807" s="1">
        <f t="shared" si="119"/>
        <v>416.89</v>
      </c>
    </row>
    <row r="3808" spans="1:9" x14ac:dyDescent="0.2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 s="1">
        <f t="shared" si="118"/>
        <v>1739.91</v>
      </c>
      <c r="H3808" s="1" t="str">
        <f>_xlfn.XLOOKUP(C3808,Product!A:A,Product!B:B,"not found",0)</f>
        <v>Haro SR 1.2 - 2017</v>
      </c>
      <c r="I3808" s="1">
        <f t="shared" si="119"/>
        <v>1739.91</v>
      </c>
    </row>
    <row r="3809" spans="1:9" x14ac:dyDescent="0.2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 s="1">
        <f t="shared" si="118"/>
        <v>1999.88</v>
      </c>
      <c r="H3809" s="1" t="str">
        <f>_xlfn.XLOOKUP(C3809,Product!A:A,Product!B:B,"not found",0)</f>
        <v>Surly Big Dummy Frameset - 2017</v>
      </c>
      <c r="I3809" s="1">
        <f t="shared" si="119"/>
        <v>1999.88</v>
      </c>
    </row>
    <row r="3810" spans="1:9" x14ac:dyDescent="0.2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 s="1">
        <f t="shared" si="118"/>
        <v>2299.89</v>
      </c>
      <c r="H3810" s="1" t="str">
        <f>_xlfn.XLOOKUP(C3810,Product!A:A,Product!B:B,"not found",0)</f>
        <v>Trek Fuel EX 5 27.5 Plus - 2017</v>
      </c>
      <c r="I3810" s="1">
        <f t="shared" si="119"/>
        <v>2299.89</v>
      </c>
    </row>
    <row r="3811" spans="1:9" x14ac:dyDescent="0.2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 s="1">
        <f t="shared" si="118"/>
        <v>501.93</v>
      </c>
      <c r="H3811" s="1" t="str">
        <f>_xlfn.XLOOKUP(C3811,Product!A:A,Product!B:B,"not found",0)</f>
        <v>Sun Bicycles Revolutions 24 - Girl's - 2017</v>
      </c>
      <c r="I3811" s="1">
        <f t="shared" si="119"/>
        <v>501.93</v>
      </c>
    </row>
    <row r="3812" spans="1:9" x14ac:dyDescent="0.2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 s="1">
        <f t="shared" si="118"/>
        <v>269.79000000000002</v>
      </c>
      <c r="H3812" s="1" t="str">
        <f>_xlfn.XLOOKUP(C3812,Product!A:A,Product!B:B,"not found",0)</f>
        <v>Electra Girl's Hawaii 1 (16-inch) - 2015/2016</v>
      </c>
      <c r="I3812" s="1">
        <f t="shared" si="119"/>
        <v>269.79000000000002</v>
      </c>
    </row>
    <row r="3813" spans="1:9" x14ac:dyDescent="0.2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 s="1">
        <f t="shared" si="118"/>
        <v>599.91999999999996</v>
      </c>
      <c r="H3813" s="1" t="str">
        <f>_xlfn.XLOOKUP(C3813,Product!A:A,Product!B:B,"not found",0)</f>
        <v>Electra Townie Original 7D EQ - Women's - 2016</v>
      </c>
      <c r="I3813" s="1">
        <f t="shared" si="119"/>
        <v>599.91999999999996</v>
      </c>
    </row>
    <row r="3814" spans="1:9" x14ac:dyDescent="0.2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 s="1">
        <f t="shared" si="118"/>
        <v>599.79</v>
      </c>
      <c r="H3814" s="1" t="str">
        <f>_xlfn.XLOOKUP(C3814,Product!A:A,Product!B:B,"not found",0)</f>
        <v>Electra Cruiser Lux Fat Tire 1 Ladies - 2017</v>
      </c>
      <c r="I3814" s="1">
        <f t="shared" si="119"/>
        <v>599.79</v>
      </c>
    </row>
    <row r="3815" spans="1:9" x14ac:dyDescent="0.2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 s="1">
        <f t="shared" si="118"/>
        <v>469.79</v>
      </c>
      <c r="H3815" s="1" t="str">
        <f>_xlfn.XLOOKUP(C3815,Product!A:A,Product!B:B,"not found",0)</f>
        <v>Surly Wednesday Frameset - 2017</v>
      </c>
      <c r="I3815" s="1">
        <f t="shared" si="119"/>
        <v>469.79</v>
      </c>
    </row>
    <row r="3816" spans="1:9" x14ac:dyDescent="0.2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 s="1">
        <f t="shared" si="118"/>
        <v>416.92</v>
      </c>
      <c r="H3816" s="1" t="str">
        <f>_xlfn.XLOOKUP(C3816,Product!A:A,Product!B:B,"not found",0)</f>
        <v>Sun Bicycles Cruz 7 - 2017</v>
      </c>
      <c r="I3816" s="1">
        <f t="shared" si="119"/>
        <v>416.92</v>
      </c>
    </row>
    <row r="3817" spans="1:9" x14ac:dyDescent="0.2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 s="1">
        <f t="shared" si="118"/>
        <v>875.92</v>
      </c>
      <c r="H3817" s="1" t="str">
        <f>_xlfn.XLOOKUP(C3817,Product!A:A,Product!B:B,"not found",0)</f>
        <v>Surly Steamroller - 2017</v>
      </c>
      <c r="I3817" s="1">
        <f t="shared" si="119"/>
        <v>875.92</v>
      </c>
    </row>
    <row r="3818" spans="1:9" x14ac:dyDescent="0.2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 s="1">
        <f t="shared" si="118"/>
        <v>1239.93</v>
      </c>
      <c r="H3818" s="1" t="str">
        <f>_xlfn.XLOOKUP(C3818,Product!A:A,Product!B:B,"not found",0)</f>
        <v>Sun Bicycles Biscayne Tandem 7 - 2017</v>
      </c>
      <c r="I3818" s="1">
        <f t="shared" si="119"/>
        <v>1239.93</v>
      </c>
    </row>
    <row r="3819" spans="1:9" x14ac:dyDescent="0.2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 s="1">
        <f t="shared" si="118"/>
        <v>249.89000000000001</v>
      </c>
      <c r="H3819" s="1" t="str">
        <f>_xlfn.XLOOKUP(C3819,Product!A:A,Product!B:B,"not found",0)</f>
        <v>Haro Shredder Pro 20 - 2017</v>
      </c>
      <c r="I3819" s="1">
        <f t="shared" si="119"/>
        <v>249.89000000000001</v>
      </c>
    </row>
    <row r="3820" spans="1:9" x14ac:dyDescent="0.2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 s="1">
        <f t="shared" si="118"/>
        <v>963.91</v>
      </c>
      <c r="H3820" s="1" t="str">
        <f>_xlfn.XLOOKUP(C3820,Product!A:A,Product!B:B,"not found",0)</f>
        <v>Sun Bicycles Streamway - 2017</v>
      </c>
      <c r="I3820" s="1">
        <f t="shared" si="119"/>
        <v>963.91</v>
      </c>
    </row>
    <row r="3821" spans="1:9" x14ac:dyDescent="0.2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 s="1">
        <f t="shared" si="118"/>
        <v>1469.94</v>
      </c>
      <c r="H3821" s="1" t="str">
        <f>_xlfn.XLOOKUP(C3821,Product!A:A,Product!B:B,"not found",0)</f>
        <v>Haro Shift R3 - 2017</v>
      </c>
      <c r="I3821" s="1">
        <f t="shared" si="119"/>
        <v>1469.94</v>
      </c>
    </row>
    <row r="3822" spans="1:9" x14ac:dyDescent="0.2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 s="1">
        <f t="shared" si="118"/>
        <v>549.89</v>
      </c>
      <c r="H3822" s="1" t="str">
        <f>_xlfn.XLOOKUP(C3822,Product!A:A,Product!B:B,"not found",0)</f>
        <v>Electra Townie Original 21D - 2016</v>
      </c>
      <c r="I3822" s="1">
        <f t="shared" si="119"/>
        <v>549.89</v>
      </c>
    </row>
    <row r="3823" spans="1:9" x14ac:dyDescent="0.2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 s="1">
        <f t="shared" si="118"/>
        <v>599.91999999999996</v>
      </c>
      <c r="H3823" s="1" t="str">
        <f>_xlfn.XLOOKUP(C3823,Product!A:A,Product!B:B,"not found",0)</f>
        <v>Electra Townie Original 7D EQ - 2016</v>
      </c>
      <c r="I3823" s="1">
        <f t="shared" si="119"/>
        <v>599.91999999999996</v>
      </c>
    </row>
    <row r="3824" spans="1:9" x14ac:dyDescent="0.2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 s="1">
        <f t="shared" si="118"/>
        <v>1199.78</v>
      </c>
      <c r="H3824" s="1" t="str">
        <f>_xlfn.XLOOKUP(C3824,Product!A:A,Product!B:B,"not found",0)</f>
        <v>Electra Townie Original 7D EQ - 2016</v>
      </c>
      <c r="I3824" s="1">
        <f t="shared" si="119"/>
        <v>1199.78</v>
      </c>
    </row>
    <row r="3825" spans="1:9" x14ac:dyDescent="0.2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 s="1">
        <f t="shared" si="118"/>
        <v>599.88</v>
      </c>
      <c r="H3825" s="1" t="str">
        <f>_xlfn.XLOOKUP(C3825,Product!A:A,Product!B:B,"not found",0)</f>
        <v>Electra Girl's Hawaii 1 16" - 2017</v>
      </c>
      <c r="I3825" s="1">
        <f t="shared" si="119"/>
        <v>599.88</v>
      </c>
    </row>
    <row r="3826" spans="1:9" x14ac:dyDescent="0.2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 s="1">
        <f t="shared" si="118"/>
        <v>209.89000000000001</v>
      </c>
      <c r="H3826" s="1" t="str">
        <f>_xlfn.XLOOKUP(C3826,Product!A:A,Product!B:B,"not found",0)</f>
        <v>Trek Precaliber 16 Girls - 2017</v>
      </c>
      <c r="I3826" s="1">
        <f t="shared" si="119"/>
        <v>209.89000000000001</v>
      </c>
    </row>
    <row r="3827" spans="1:9" x14ac:dyDescent="0.2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 s="1">
        <f t="shared" si="118"/>
        <v>659.89</v>
      </c>
      <c r="H3827" s="1" t="str">
        <f>_xlfn.XLOOKUP(C3827,Product!A:A,Product!B:B,"not found",0)</f>
        <v>Electra Amsterdam Original 3i Ladies' - 2017</v>
      </c>
      <c r="I3827" s="1">
        <f t="shared" si="119"/>
        <v>659.89</v>
      </c>
    </row>
    <row r="3828" spans="1:9" x14ac:dyDescent="0.2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 s="1">
        <f t="shared" si="118"/>
        <v>1319.78</v>
      </c>
      <c r="H3828" s="1" t="str">
        <f>_xlfn.XLOOKUP(C3828,Product!A:A,Product!B:B,"not found",0)</f>
        <v>Electra Amsterdam Original 3i Ladies' - 2017</v>
      </c>
      <c r="I3828" s="1">
        <f t="shared" si="119"/>
        <v>1319.78</v>
      </c>
    </row>
    <row r="3829" spans="1:9" x14ac:dyDescent="0.2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 s="1">
        <f t="shared" si="118"/>
        <v>6999.78</v>
      </c>
      <c r="H3829" s="1" t="str">
        <f>_xlfn.XLOOKUP(C3829,Product!A:A,Product!B:B,"not found",0)</f>
        <v>Trek Boone 7 - 2017</v>
      </c>
      <c r="I3829" s="1">
        <f t="shared" si="119"/>
        <v>6999.78</v>
      </c>
    </row>
    <row r="3830" spans="1:9" x14ac:dyDescent="0.2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 s="1">
        <f t="shared" si="118"/>
        <v>470.79</v>
      </c>
      <c r="H3830" s="1" t="str">
        <f>_xlfn.XLOOKUP(C3830,Product!A:A,Product!B:B,"not found",0)</f>
        <v>Sun Bicycles Drifter 7 - Women's - 2017</v>
      </c>
      <c r="I3830" s="1">
        <f t="shared" si="119"/>
        <v>470.79</v>
      </c>
    </row>
    <row r="3831" spans="1:9" x14ac:dyDescent="0.2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 s="1">
        <f t="shared" si="118"/>
        <v>209.92000000000002</v>
      </c>
      <c r="H3831" s="1" t="str">
        <f>_xlfn.XLOOKUP(C3831,Product!A:A,Product!B:B,"not found",0)</f>
        <v>Haro Shredder 20 - 2017</v>
      </c>
      <c r="I3831" s="1">
        <f t="shared" si="119"/>
        <v>209.92000000000002</v>
      </c>
    </row>
    <row r="3832" spans="1:9" x14ac:dyDescent="0.2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 s="1">
        <f t="shared" si="118"/>
        <v>599.91999999999996</v>
      </c>
      <c r="H3832" s="1" t="str">
        <f>_xlfn.XLOOKUP(C3832,Product!A:A,Product!B:B,"not found",0)</f>
        <v>Electra Cruiser Lux Fat Tire 1 Ladies - 2017</v>
      </c>
      <c r="I3832" s="1">
        <f t="shared" si="119"/>
        <v>599.91999999999996</v>
      </c>
    </row>
    <row r="3833" spans="1:9" x14ac:dyDescent="0.2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 s="1">
        <f t="shared" si="118"/>
        <v>349.79</v>
      </c>
      <c r="H3833" s="1" t="str">
        <f>_xlfn.XLOOKUP(C3833,Product!A:A,Product!B:B,"not found",0)</f>
        <v>Trek Precaliber 24 (21-Speed) - Girls - 2017</v>
      </c>
      <c r="I3833" s="1">
        <f t="shared" si="119"/>
        <v>349.79</v>
      </c>
    </row>
    <row r="3834" spans="1:9" x14ac:dyDescent="0.2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 s="1">
        <f t="shared" si="118"/>
        <v>481.89</v>
      </c>
      <c r="H3834" s="1" t="str">
        <f>_xlfn.XLOOKUP(C3834,Product!A:A,Product!B:B,"not found",0)</f>
        <v>Sun Bicycles Streamway - 2017</v>
      </c>
      <c r="I3834" s="1">
        <f t="shared" si="119"/>
        <v>481.89</v>
      </c>
    </row>
    <row r="3835" spans="1:9" x14ac:dyDescent="0.2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 s="1">
        <f t="shared" si="118"/>
        <v>209.94</v>
      </c>
      <c r="H3835" s="1" t="str">
        <f>_xlfn.XLOOKUP(C3835,Product!A:A,Product!B:B,"not found",0)</f>
        <v>Haro Shredder 20 Girls - 2017</v>
      </c>
      <c r="I3835" s="1">
        <f t="shared" si="119"/>
        <v>209.94</v>
      </c>
    </row>
    <row r="3836" spans="1:9" x14ac:dyDescent="0.2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 s="1">
        <f t="shared" si="118"/>
        <v>599.78</v>
      </c>
      <c r="H3836" s="1" t="str">
        <f>_xlfn.XLOOKUP(C3836,Product!A:A,Product!B:B,"not found",0)</f>
        <v>Electra Sugar Skulls 1 (20-inch) - Girl's - 2017</v>
      </c>
      <c r="I3836" s="1">
        <f t="shared" si="119"/>
        <v>599.78</v>
      </c>
    </row>
    <row r="3837" spans="1:9" x14ac:dyDescent="0.2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 s="1">
        <f t="shared" si="118"/>
        <v>469.89</v>
      </c>
      <c r="H3837" s="1" t="str">
        <f>_xlfn.XLOOKUP(C3837,Product!A:A,Product!B:B,"not found",0)</f>
        <v>Trek Session DH 27.5 Carbon Frameset - 2017</v>
      </c>
      <c r="I3837" s="1">
        <f t="shared" si="119"/>
        <v>469.89</v>
      </c>
    </row>
    <row r="3838" spans="1:9" x14ac:dyDescent="0.2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 s="1">
        <f t="shared" si="118"/>
        <v>416.89</v>
      </c>
      <c r="H3838" s="1" t="str">
        <f>_xlfn.XLOOKUP(C3838,Product!A:A,Product!B:B,"not found",0)</f>
        <v>Sun Bicycles Cruz 7 - 2017</v>
      </c>
      <c r="I3838" s="1">
        <f t="shared" si="119"/>
        <v>416.89</v>
      </c>
    </row>
    <row r="3839" spans="1:9" x14ac:dyDescent="0.2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 s="1">
        <f t="shared" si="118"/>
        <v>3361.88</v>
      </c>
      <c r="H3839" s="1" t="str">
        <f>_xlfn.XLOOKUP(C3839,Product!A:A,Product!B:B,"not found",0)</f>
        <v>Surly Straggler 650b - 2016</v>
      </c>
      <c r="I3839" s="1">
        <f t="shared" si="119"/>
        <v>3361.88</v>
      </c>
    </row>
    <row r="3840" spans="1:9" x14ac:dyDescent="0.2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 s="1">
        <f t="shared" si="118"/>
        <v>4999.9299999999994</v>
      </c>
      <c r="H3840" s="1" t="str">
        <f>_xlfn.XLOOKUP(C3840,Product!A:A,Product!B:B,"not found",0)</f>
        <v>Surly Karate Monkey 27.5+ Frameset - 2017</v>
      </c>
      <c r="I3840" s="1">
        <f t="shared" si="119"/>
        <v>4999.9299999999994</v>
      </c>
    </row>
    <row r="3841" spans="1:9" x14ac:dyDescent="0.2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 s="1">
        <f t="shared" si="118"/>
        <v>963.93000000000006</v>
      </c>
      <c r="H3841" s="1" t="str">
        <f>_xlfn.XLOOKUP(C3841,Product!A:A,Product!B:B,"not found",0)</f>
        <v>Sun Bicycles Streamway - 2017</v>
      </c>
      <c r="I3841" s="1">
        <f t="shared" si="119"/>
        <v>963.93000000000006</v>
      </c>
    </row>
    <row r="3842" spans="1:9" x14ac:dyDescent="0.2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 s="1">
        <f t="shared" si="118"/>
        <v>1999.91</v>
      </c>
      <c r="H3842" s="1" t="str">
        <f>_xlfn.XLOOKUP(C3842,Product!A:A,Product!B:B,"not found",0)</f>
        <v>Surly Big Dummy Frameset - 2017</v>
      </c>
      <c r="I3842" s="1">
        <f t="shared" si="119"/>
        <v>1999.91</v>
      </c>
    </row>
    <row r="3843" spans="1:9" x14ac:dyDescent="0.2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 s="1">
        <f t="shared" ref="G3843:G3906" si="120">(E3843*D3843)-F3843</f>
        <v>599.94000000000005</v>
      </c>
      <c r="H3843" s="1" t="str">
        <f>_xlfn.XLOOKUP(C3843,Product!A:A,Product!B:B,"not found",0)</f>
        <v>Electra Townie Original 7D EQ - Women's - 2016</v>
      </c>
      <c r="I3843" s="1">
        <f t="shared" ref="I3843:I3906" si="121">(D3843*E3843)-F3843</f>
        <v>599.94000000000005</v>
      </c>
    </row>
    <row r="3844" spans="1:9" x14ac:dyDescent="0.2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 s="1">
        <f t="shared" si="120"/>
        <v>659.94</v>
      </c>
      <c r="H3844" s="1" t="str">
        <f>_xlfn.XLOOKUP(C3844,Product!A:A,Product!B:B,"not found",0)</f>
        <v>Electra Amsterdam Original 3i - 2015/2017</v>
      </c>
      <c r="I3844" s="1">
        <f t="shared" si="121"/>
        <v>659.94</v>
      </c>
    </row>
    <row r="3845" spans="1:9" x14ac:dyDescent="0.2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 s="1">
        <f t="shared" si="120"/>
        <v>250.89000000000001</v>
      </c>
      <c r="H3845" s="1" t="str">
        <f>_xlfn.XLOOKUP(C3845,Product!A:A,Product!B:B,"not found",0)</f>
        <v>Sun Bicycles Revolutions 24 - 2017</v>
      </c>
      <c r="I3845" s="1">
        <f t="shared" si="121"/>
        <v>250.89000000000001</v>
      </c>
    </row>
    <row r="3846" spans="1:9" x14ac:dyDescent="0.2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 s="1">
        <f t="shared" si="120"/>
        <v>4999.78</v>
      </c>
      <c r="H3846" s="1" t="str">
        <f>_xlfn.XLOOKUP(C3846,Product!A:A,Product!B:B,"not found",0)</f>
        <v>Trek Fuel EX 7 29 - 2018</v>
      </c>
      <c r="I3846" s="1">
        <f t="shared" si="121"/>
        <v>4999.78</v>
      </c>
    </row>
    <row r="3847" spans="1:9" x14ac:dyDescent="0.2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 s="1">
        <f t="shared" si="120"/>
        <v>899.89</v>
      </c>
      <c r="H3847" s="1" t="str">
        <f>_xlfn.XLOOKUP(C3847,Product!A:A,Product!B:B,"not found",0)</f>
        <v>Electra Koa 3i Ladies' - 2018</v>
      </c>
      <c r="I3847" s="1">
        <f t="shared" si="121"/>
        <v>899.89</v>
      </c>
    </row>
    <row r="3848" spans="1:9" x14ac:dyDescent="0.2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 s="1">
        <f t="shared" si="120"/>
        <v>999.79</v>
      </c>
      <c r="H3848" s="1" t="str">
        <f>_xlfn.XLOOKUP(C3848,Product!A:A,Product!B:B,"not found",0)</f>
        <v>Surly Wednesday Frameset - 2016</v>
      </c>
      <c r="I3848" s="1">
        <f t="shared" si="121"/>
        <v>999.79</v>
      </c>
    </row>
    <row r="3849" spans="1:9" x14ac:dyDescent="0.2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 s="1">
        <f t="shared" si="120"/>
        <v>2999.9399999999996</v>
      </c>
      <c r="H3849" s="1" t="str">
        <f>_xlfn.XLOOKUP(C3849,Product!A:A,Product!B:B,"not found",0)</f>
        <v>Trek Remedy 7 27.5 - 2018</v>
      </c>
      <c r="I3849" s="1">
        <f t="shared" si="121"/>
        <v>2999.9399999999996</v>
      </c>
    </row>
    <row r="3850" spans="1:9" x14ac:dyDescent="0.2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 s="1">
        <f t="shared" si="120"/>
        <v>899.94</v>
      </c>
      <c r="H3850" s="1" t="str">
        <f>_xlfn.XLOOKUP(C3850,Product!A:A,Product!B:B,"not found",0)</f>
        <v>Electra Amsterdam Fashion 3i Ladies' - 2017/2018</v>
      </c>
      <c r="I3850" s="1">
        <f t="shared" si="121"/>
        <v>899.94</v>
      </c>
    </row>
    <row r="3851" spans="1:9" x14ac:dyDescent="0.2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 s="1">
        <f t="shared" si="120"/>
        <v>2999.89</v>
      </c>
      <c r="H3851" s="1" t="str">
        <f>_xlfn.XLOOKUP(C3851,Product!A:A,Product!B:B,"not found",0)</f>
        <v>Trek Crockett 7 Disc - 2018</v>
      </c>
      <c r="I3851" s="1">
        <f t="shared" si="121"/>
        <v>2999.89</v>
      </c>
    </row>
    <row r="3852" spans="1:9" x14ac:dyDescent="0.2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 s="1">
        <f t="shared" si="120"/>
        <v>2499.9199999999996</v>
      </c>
      <c r="H3852" s="1" t="str">
        <f>_xlfn.XLOOKUP(C3852,Product!A:A,Product!B:B,"not found",0)</f>
        <v>Surly Karate Monkey 27.5+ Frameset - 2017</v>
      </c>
      <c r="I3852" s="1">
        <f t="shared" si="121"/>
        <v>2499.9199999999996</v>
      </c>
    </row>
    <row r="3853" spans="1:9" x14ac:dyDescent="0.2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 s="1">
        <f t="shared" si="120"/>
        <v>5599.91</v>
      </c>
      <c r="H3853" s="1" t="str">
        <f>_xlfn.XLOOKUP(C3853,Product!A:A,Product!B:B,"not found",0)</f>
        <v>Trek Dual Sport+ - 2018</v>
      </c>
      <c r="I3853" s="1">
        <f t="shared" si="121"/>
        <v>5599.91</v>
      </c>
    </row>
    <row r="3854" spans="1:9" x14ac:dyDescent="0.2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 s="1">
        <f t="shared" si="120"/>
        <v>399.91</v>
      </c>
      <c r="H3854" s="1" t="str">
        <f>_xlfn.XLOOKUP(C3854,Product!A:A,Product!B:B,"not found",0)</f>
        <v>Trek Precaliber 12 Boy's - 2018</v>
      </c>
      <c r="I3854" s="1">
        <f t="shared" si="121"/>
        <v>399.91</v>
      </c>
    </row>
    <row r="3855" spans="1:9" x14ac:dyDescent="0.2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 s="1">
        <f t="shared" si="120"/>
        <v>3099.91</v>
      </c>
      <c r="H3855" s="1" t="str">
        <f>_xlfn.XLOOKUP(C3855,Product!A:A,Product!B:B,"not found",0)</f>
        <v>Trek Domane ALR 4 Disc Women's - 2018</v>
      </c>
      <c r="I3855" s="1">
        <f t="shared" si="121"/>
        <v>3099.91</v>
      </c>
    </row>
    <row r="3856" spans="1:9" x14ac:dyDescent="0.2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 s="1">
        <f t="shared" si="120"/>
        <v>1799.88</v>
      </c>
      <c r="H3856" s="1" t="str">
        <f>_xlfn.XLOOKUP(C3856,Product!A:A,Product!B:B,"not found",0)</f>
        <v>Electra Koa 3i Ladies' - 2018</v>
      </c>
      <c r="I3856" s="1">
        <f t="shared" si="121"/>
        <v>1799.88</v>
      </c>
    </row>
    <row r="3857" spans="1:9" x14ac:dyDescent="0.2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 s="1">
        <f t="shared" si="120"/>
        <v>2999.88</v>
      </c>
      <c r="H3857" s="1" t="str">
        <f>_xlfn.XLOOKUP(C3857,Product!A:A,Product!B:B,"not found",0)</f>
        <v>Trek Emonda S 4 - 2017</v>
      </c>
      <c r="I3857" s="1">
        <f t="shared" si="121"/>
        <v>2999.88</v>
      </c>
    </row>
    <row r="3858" spans="1:9" x14ac:dyDescent="0.2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 s="1">
        <f t="shared" si="120"/>
        <v>919.79</v>
      </c>
      <c r="H3858" s="1" t="str">
        <f>_xlfn.XLOOKUP(C3858,Product!A:A,Product!B:B,"not found",0)</f>
        <v>Trek Domane AL 3 Women's - 2018</v>
      </c>
      <c r="I3858" s="1">
        <f t="shared" si="121"/>
        <v>919.79</v>
      </c>
    </row>
    <row r="3859" spans="1:9" x14ac:dyDescent="0.2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 s="1">
        <f t="shared" si="120"/>
        <v>749.92</v>
      </c>
      <c r="H3859" s="1" t="str">
        <f>_xlfn.XLOOKUP(C3859,Product!A:A,Product!B:B,"not found",0)</f>
        <v>Electra Townie Commute 8D - 2018</v>
      </c>
      <c r="I3859" s="1">
        <f t="shared" si="121"/>
        <v>749.92</v>
      </c>
    </row>
    <row r="3860" spans="1:9" x14ac:dyDescent="0.2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 s="1">
        <f t="shared" si="120"/>
        <v>1839.88</v>
      </c>
      <c r="H3860" s="1" t="str">
        <f>_xlfn.XLOOKUP(C3860,Product!A:A,Product!B:B,"not found",0)</f>
        <v>Trek X-Caliber 7 - 2018</v>
      </c>
      <c r="I3860" s="1">
        <f t="shared" si="121"/>
        <v>1839.88</v>
      </c>
    </row>
    <row r="3861" spans="1:9" x14ac:dyDescent="0.2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 s="1">
        <f t="shared" si="120"/>
        <v>319.92</v>
      </c>
      <c r="H3861" s="1" t="str">
        <f>_xlfn.XLOOKUP(C3861,Product!A:A,Product!B:B,"not found",0)</f>
        <v>Electra Cruiser 7D Tall - 2016/2018</v>
      </c>
      <c r="I3861" s="1">
        <f t="shared" si="121"/>
        <v>319.92</v>
      </c>
    </row>
    <row r="3862" spans="1:9" x14ac:dyDescent="0.2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 s="1">
        <f t="shared" si="120"/>
        <v>749.89</v>
      </c>
      <c r="H3862" s="1" t="str">
        <f>_xlfn.XLOOKUP(C3862,Product!A:A,Product!B:B,"not found",0)</f>
        <v>Electra Townie Commute 8D - 2018</v>
      </c>
      <c r="I3862" s="1">
        <f t="shared" si="121"/>
        <v>749.89</v>
      </c>
    </row>
    <row r="3863" spans="1:9" x14ac:dyDescent="0.2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 s="1">
        <f t="shared" si="120"/>
        <v>599.89</v>
      </c>
      <c r="H3863" s="1" t="str">
        <f>_xlfn.XLOOKUP(C3863,Product!A:A,Product!B:B,"not found",0)</f>
        <v>Electra Townie Original 7D EQ - 2018</v>
      </c>
      <c r="I3863" s="1">
        <f t="shared" si="121"/>
        <v>599.89</v>
      </c>
    </row>
    <row r="3864" spans="1:9" x14ac:dyDescent="0.2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 s="1">
        <f t="shared" si="120"/>
        <v>1099.92</v>
      </c>
      <c r="H3864" s="1" t="str">
        <f>_xlfn.XLOOKUP(C3864,Product!A:A,Product!B:B,"not found",0)</f>
        <v>Trek Domane ALR 3 - 2018</v>
      </c>
      <c r="I3864" s="1">
        <f t="shared" si="121"/>
        <v>1099.92</v>
      </c>
    </row>
    <row r="3865" spans="1:9" x14ac:dyDescent="0.2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 s="1">
        <f t="shared" si="120"/>
        <v>416.94</v>
      </c>
      <c r="H3865" s="1" t="str">
        <f>_xlfn.XLOOKUP(C3865,Product!A:A,Product!B:B,"not found",0)</f>
        <v>Sun Bicycles Cruz 7 - 2017</v>
      </c>
      <c r="I3865" s="1">
        <f t="shared" si="121"/>
        <v>416.94</v>
      </c>
    </row>
    <row r="3866" spans="1:9" x14ac:dyDescent="0.2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 s="1">
        <f t="shared" si="120"/>
        <v>2699.9199999999996</v>
      </c>
      <c r="H3866" s="1" t="str">
        <f>_xlfn.XLOOKUP(C3866,Product!A:A,Product!B:B,"not found",0)</f>
        <v>Trek Domane S 6 - 2017</v>
      </c>
      <c r="I3866" s="1">
        <f t="shared" si="121"/>
        <v>2699.9199999999996</v>
      </c>
    </row>
    <row r="3867" spans="1:9" x14ac:dyDescent="0.2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 s="1">
        <f t="shared" si="120"/>
        <v>639.78</v>
      </c>
      <c r="H3867" s="1" t="str">
        <f>_xlfn.XLOOKUP(C3867,Product!A:A,Product!B:B,"not found",0)</f>
        <v>Electra Heartchya 1 (20-inch) - Girl's - 2018</v>
      </c>
      <c r="I3867" s="1">
        <f t="shared" si="121"/>
        <v>639.78</v>
      </c>
    </row>
    <row r="3868" spans="1:9" x14ac:dyDescent="0.2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 s="1">
        <f t="shared" si="120"/>
        <v>269.89</v>
      </c>
      <c r="H3868" s="1" t="str">
        <f>_xlfn.XLOOKUP(C3868,Product!A:A,Product!B:B,"not found",0)</f>
        <v>Electra Cruiser 1 (24-Inch) - 2016</v>
      </c>
      <c r="I3868" s="1">
        <f t="shared" si="121"/>
        <v>269.89</v>
      </c>
    </row>
    <row r="3869" spans="1:9" x14ac:dyDescent="0.2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 s="1">
        <f t="shared" si="120"/>
        <v>479.79</v>
      </c>
      <c r="H3869" s="1" t="str">
        <f>_xlfn.XLOOKUP(C3869,Product!A:A,Product!B:B,"not found",0)</f>
        <v>Electra Cruiser Lux 7D Ladies' - 2018</v>
      </c>
      <c r="I3869" s="1">
        <f t="shared" si="121"/>
        <v>479.79</v>
      </c>
    </row>
    <row r="3870" spans="1:9" x14ac:dyDescent="0.2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 s="1">
        <f t="shared" si="120"/>
        <v>1359.93</v>
      </c>
      <c r="H3870" s="1" t="str">
        <f>_xlfn.XLOOKUP(C3870,Product!A:A,Product!B:B,"not found",0)</f>
        <v>Electra Townie Original 21D EQ Ladies' - 2018</v>
      </c>
      <c r="I3870" s="1">
        <f t="shared" si="121"/>
        <v>1359.93</v>
      </c>
    </row>
    <row r="3871" spans="1:9" x14ac:dyDescent="0.2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 s="1">
        <f t="shared" si="120"/>
        <v>859.78</v>
      </c>
      <c r="H3871" s="1" t="str">
        <f>_xlfn.XLOOKUP(C3871,Product!A:A,Product!B:B,"not found",0)</f>
        <v>Electra Cruiser Lux 1 Ladies' - 2018</v>
      </c>
      <c r="I3871" s="1">
        <f t="shared" si="121"/>
        <v>859.78</v>
      </c>
    </row>
    <row r="3872" spans="1:9" x14ac:dyDescent="0.2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 s="1">
        <f t="shared" si="120"/>
        <v>979.93000000000006</v>
      </c>
      <c r="H3872" s="1" t="str">
        <f>_xlfn.XLOOKUP(C3872,Product!A:A,Product!B:B,"not found",0)</f>
        <v>Electra Townie Original 7D - 2017</v>
      </c>
      <c r="I3872" s="1">
        <f t="shared" si="121"/>
        <v>979.93000000000006</v>
      </c>
    </row>
    <row r="3873" spans="1:9" x14ac:dyDescent="0.2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 s="1">
        <f t="shared" si="120"/>
        <v>279.89</v>
      </c>
      <c r="H3873" s="1" t="str">
        <f>_xlfn.XLOOKUP(C3873,Product!A:A,Product!B:B,"not found",0)</f>
        <v>Electra Cyclosaurus 1 (16-inch) - Boy's - 2018</v>
      </c>
      <c r="I3873" s="1">
        <f t="shared" si="121"/>
        <v>279.89</v>
      </c>
    </row>
    <row r="3874" spans="1:9" x14ac:dyDescent="0.2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 s="1">
        <f t="shared" si="120"/>
        <v>2599.9399999999996</v>
      </c>
      <c r="H3874" s="1" t="str">
        <f>_xlfn.XLOOKUP(C3874,Product!A:A,Product!B:B,"not found",0)</f>
        <v>Electra Townie Go! 8i Ladies' - 2018</v>
      </c>
      <c r="I3874" s="1">
        <f t="shared" si="121"/>
        <v>2599.9399999999996</v>
      </c>
    </row>
    <row r="3875" spans="1:9" x14ac:dyDescent="0.2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 s="1">
        <f t="shared" si="120"/>
        <v>369.94</v>
      </c>
      <c r="H3875" s="1" t="str">
        <f>_xlfn.XLOOKUP(C3875,Product!A:A,Product!B:B,"not found",0)</f>
        <v>Electra Superbolt 3i 20" - 2018</v>
      </c>
      <c r="I3875" s="1">
        <f t="shared" si="121"/>
        <v>369.94</v>
      </c>
    </row>
    <row r="3876" spans="1:9" x14ac:dyDescent="0.2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 s="1">
        <f t="shared" si="120"/>
        <v>3599.88</v>
      </c>
      <c r="H3876" s="1" t="str">
        <f>_xlfn.XLOOKUP(C3876,Product!A:A,Product!B:B,"not found",0)</f>
        <v>Trek Domane ALR 5 Disc - 2018</v>
      </c>
      <c r="I3876" s="1">
        <f t="shared" si="121"/>
        <v>3599.88</v>
      </c>
    </row>
    <row r="3877" spans="1:9" x14ac:dyDescent="0.2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 s="1">
        <f t="shared" si="120"/>
        <v>799.79</v>
      </c>
      <c r="H3877" s="1" t="str">
        <f>_xlfn.XLOOKUP(C3877,Product!A:A,Product!B:B,"not found",0)</f>
        <v>Electra Townie Balloon 3i EQ Ladies' - 2018</v>
      </c>
      <c r="I3877" s="1">
        <f t="shared" si="121"/>
        <v>799.79</v>
      </c>
    </row>
    <row r="3878" spans="1:9" x14ac:dyDescent="0.2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 s="1">
        <f t="shared" si="120"/>
        <v>369.79</v>
      </c>
      <c r="H3878" s="1" t="str">
        <f>_xlfn.XLOOKUP(C3878,Product!A:A,Product!B:B,"not found",0)</f>
        <v>Electra Treasure 3i 20" - 2018</v>
      </c>
      <c r="I3878" s="1">
        <f t="shared" si="121"/>
        <v>369.79</v>
      </c>
    </row>
    <row r="3879" spans="1:9" x14ac:dyDescent="0.2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 s="1">
        <f t="shared" si="120"/>
        <v>419.93</v>
      </c>
      <c r="H3879" s="1" t="str">
        <f>_xlfn.XLOOKUP(C3879,Product!A:A,Product!B:B,"not found",0)</f>
        <v>Haro Shredder 20 Girls - 2017</v>
      </c>
      <c r="I3879" s="1">
        <f t="shared" si="121"/>
        <v>419.93</v>
      </c>
    </row>
    <row r="3880" spans="1:9" x14ac:dyDescent="0.2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 s="1">
        <f t="shared" si="120"/>
        <v>1839.91</v>
      </c>
      <c r="H3880" s="1" t="str">
        <f>_xlfn.XLOOKUP(C3880,Product!A:A,Product!B:B,"not found",0)</f>
        <v>Trek Domane AL 3 - 2018</v>
      </c>
      <c r="I3880" s="1">
        <f t="shared" si="121"/>
        <v>1839.91</v>
      </c>
    </row>
    <row r="3881" spans="1:9" x14ac:dyDescent="0.2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 s="1">
        <f t="shared" si="120"/>
        <v>279.89</v>
      </c>
      <c r="H3881" s="1" t="str">
        <f>_xlfn.XLOOKUP(C3881,Product!A:A,Product!B:B,"not found",0)</f>
        <v>Electra Water Lily 1 (16-inch) - Girl's - 2018</v>
      </c>
      <c r="I3881" s="1">
        <f t="shared" si="121"/>
        <v>279.89</v>
      </c>
    </row>
    <row r="3882" spans="1:9" x14ac:dyDescent="0.2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 s="1">
        <f t="shared" si="120"/>
        <v>9999.93</v>
      </c>
      <c r="H3882" s="1" t="str">
        <f>_xlfn.XLOOKUP(C3882,Product!A:A,Product!B:B,"not found",0)</f>
        <v>Trek Super Commuter+ 8S - 2018</v>
      </c>
      <c r="I3882" s="1">
        <f t="shared" si="121"/>
        <v>9999.93</v>
      </c>
    </row>
    <row r="3883" spans="1:9" x14ac:dyDescent="0.2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 s="1">
        <f t="shared" si="120"/>
        <v>1359.88</v>
      </c>
      <c r="H3883" s="1" t="str">
        <f>_xlfn.XLOOKUP(C3883,Product!A:A,Product!B:B,"not found",0)</f>
        <v>Electra Townie Original 21D EQ - 2017/2018</v>
      </c>
      <c r="I3883" s="1">
        <f t="shared" si="121"/>
        <v>1359.88</v>
      </c>
    </row>
    <row r="3884" spans="1:9" x14ac:dyDescent="0.2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 s="1">
        <f t="shared" si="120"/>
        <v>599.88</v>
      </c>
      <c r="H3884" s="1" t="str">
        <f>_xlfn.XLOOKUP(C3884,Product!A:A,Product!B:B,"not found",0)</f>
        <v>Electra Sugar Skulls 1 (20-inch) - Girl's - 2017</v>
      </c>
      <c r="I3884" s="1">
        <f t="shared" si="121"/>
        <v>599.88</v>
      </c>
    </row>
    <row r="3885" spans="1:9" x14ac:dyDescent="0.2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 s="1">
        <f t="shared" si="120"/>
        <v>549.94000000000005</v>
      </c>
      <c r="H3885" s="1" t="str">
        <f>_xlfn.XLOOKUP(C3885,Product!A:A,Product!B:B,"not found",0)</f>
        <v>Electra Townie Original 21D - 2016</v>
      </c>
      <c r="I3885" s="1">
        <f t="shared" si="121"/>
        <v>549.94000000000005</v>
      </c>
    </row>
    <row r="3886" spans="1:9" x14ac:dyDescent="0.2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 s="1">
        <f t="shared" si="120"/>
        <v>647.89</v>
      </c>
      <c r="H3886" s="1" t="str">
        <f>_xlfn.XLOOKUP(C3886,Product!A:A,Product!B:B,"not found",0)</f>
        <v>Sun Bicycles Biscayne Tandem CB - 2017</v>
      </c>
      <c r="I3886" s="1">
        <f t="shared" si="121"/>
        <v>647.89</v>
      </c>
    </row>
    <row r="3887" spans="1:9" x14ac:dyDescent="0.2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 s="1">
        <f t="shared" si="120"/>
        <v>9999.93</v>
      </c>
      <c r="H3887" s="1" t="str">
        <f>_xlfn.XLOOKUP(C3887,Product!A:A,Product!B:B,"not found",0)</f>
        <v>Trek Powerfly 7 FS - 2018</v>
      </c>
      <c r="I3887" s="1">
        <f t="shared" si="121"/>
        <v>9999.93</v>
      </c>
    </row>
    <row r="3888" spans="1:9" x14ac:dyDescent="0.2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 s="1">
        <f t="shared" si="120"/>
        <v>8999.91</v>
      </c>
      <c r="H3888" s="1" t="str">
        <f>_xlfn.XLOOKUP(C3888,Product!A:A,Product!B:B,"not found",0)</f>
        <v>Trek Emonda SLR 6 - 2018</v>
      </c>
      <c r="I3888" s="1">
        <f t="shared" si="121"/>
        <v>8999.91</v>
      </c>
    </row>
    <row r="3889" spans="1:9" x14ac:dyDescent="0.2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 s="1">
        <f t="shared" si="120"/>
        <v>219.88</v>
      </c>
      <c r="H3889" s="1" t="str">
        <f>_xlfn.XLOOKUP(C3889,Product!A:A,Product!B:B,"not found",0)</f>
        <v>Sun Bicycles Lil Kitt'n - 2017</v>
      </c>
      <c r="I3889" s="1">
        <f t="shared" si="121"/>
        <v>219.88</v>
      </c>
    </row>
    <row r="3890" spans="1:9" x14ac:dyDescent="0.2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 s="1">
        <f t="shared" si="120"/>
        <v>269.94</v>
      </c>
      <c r="H3890" s="1" t="str">
        <f>_xlfn.XLOOKUP(C3890,Product!A:A,Product!B:B,"not found",0)</f>
        <v>Electra Cruiser 1 (24-Inch) - 2016</v>
      </c>
      <c r="I3890" s="1">
        <f t="shared" si="121"/>
        <v>269.94</v>
      </c>
    </row>
    <row r="3891" spans="1:9" x14ac:dyDescent="0.2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 s="1">
        <f t="shared" si="120"/>
        <v>2299.9399999999996</v>
      </c>
      <c r="H3891" s="1" t="str">
        <f>_xlfn.XLOOKUP(C3891,Product!A:A,Product!B:B,"not found",0)</f>
        <v>Trek Fuel EX 5 27.5 Plus - 2017</v>
      </c>
      <c r="I3891" s="1">
        <f t="shared" si="121"/>
        <v>2299.9399999999996</v>
      </c>
    </row>
    <row r="3892" spans="1:9" x14ac:dyDescent="0.2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 s="1">
        <f t="shared" si="120"/>
        <v>4499.9299999999994</v>
      </c>
      <c r="H3892" s="1" t="str">
        <f>_xlfn.XLOOKUP(C3892,Product!A:A,Product!B:B,"not found",0)</f>
        <v>Trek Fuel EX 5 Plus - 2018</v>
      </c>
      <c r="I3892" s="1">
        <f t="shared" si="121"/>
        <v>4499.9299999999994</v>
      </c>
    </row>
    <row r="3893" spans="1:9" x14ac:dyDescent="0.2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 s="1">
        <f t="shared" si="120"/>
        <v>1999.78</v>
      </c>
      <c r="H3893" s="1" t="str">
        <f>_xlfn.XLOOKUP(C3893,Product!A:A,Product!B:B,"not found",0)</f>
        <v>Trek X-Caliber 8 - 2017</v>
      </c>
      <c r="I3893" s="1">
        <f t="shared" si="121"/>
        <v>1999.78</v>
      </c>
    </row>
    <row r="3894" spans="1:9" x14ac:dyDescent="0.2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 s="1">
        <f t="shared" si="120"/>
        <v>6499.94</v>
      </c>
      <c r="H3894" s="1" t="str">
        <f>_xlfn.XLOOKUP(C3894,Product!A:A,Product!B:B,"not found",0)</f>
        <v>Trek Domane SL Frameset Women's - 2018</v>
      </c>
      <c r="I3894" s="1">
        <f t="shared" si="121"/>
        <v>6499.94</v>
      </c>
    </row>
    <row r="3895" spans="1:9" x14ac:dyDescent="0.2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 s="1">
        <f t="shared" si="120"/>
        <v>539.91</v>
      </c>
      <c r="H3895" s="1" t="str">
        <f>_xlfn.XLOOKUP(C3895,Product!A:A,Product!B:B,"not found",0)</f>
        <v>Electra Cruiser 1 (24-Inch) - 2016</v>
      </c>
      <c r="I3895" s="1">
        <f t="shared" si="121"/>
        <v>539.91</v>
      </c>
    </row>
    <row r="3896" spans="1:9" x14ac:dyDescent="0.2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 s="1">
        <f t="shared" si="120"/>
        <v>3999.89</v>
      </c>
      <c r="H3896" s="1" t="str">
        <f>_xlfn.XLOOKUP(C3896,Product!A:A,Product!B:B,"not found",0)</f>
        <v>Trek Boone 7 Disc - 2018</v>
      </c>
      <c r="I3896" s="1">
        <f t="shared" si="121"/>
        <v>3999.89</v>
      </c>
    </row>
    <row r="3897" spans="1:9" x14ac:dyDescent="0.2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 s="1">
        <f t="shared" si="120"/>
        <v>2799.89</v>
      </c>
      <c r="H3897" s="1" t="str">
        <f>_xlfn.XLOOKUP(C3897,Product!A:A,Product!B:B,"not found",0)</f>
        <v>Trek Conduit+ - 2018</v>
      </c>
      <c r="I3897" s="1">
        <f t="shared" si="121"/>
        <v>2799.89</v>
      </c>
    </row>
    <row r="3898" spans="1:9" x14ac:dyDescent="0.2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 s="1">
        <f t="shared" si="120"/>
        <v>4999.8899999999994</v>
      </c>
      <c r="H3898" s="1" t="str">
        <f>_xlfn.XLOOKUP(C3898,Product!A:A,Product!B:B,"not found",0)</f>
        <v>Trek Domane SL 7 Women's - 2018</v>
      </c>
      <c r="I3898" s="1">
        <f t="shared" si="121"/>
        <v>4999.8899999999994</v>
      </c>
    </row>
    <row r="3899" spans="1:9" x14ac:dyDescent="0.2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 s="1">
        <f t="shared" si="120"/>
        <v>12999.91</v>
      </c>
      <c r="H3899" s="1" t="str">
        <f>_xlfn.XLOOKUP(C3899,Product!A:A,Product!B:B,"not found",0)</f>
        <v>Trek Emonda SLR 8 - 2018</v>
      </c>
      <c r="I3899" s="1">
        <f t="shared" si="121"/>
        <v>12999.91</v>
      </c>
    </row>
    <row r="3900" spans="1:9" x14ac:dyDescent="0.2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 s="1">
        <f t="shared" si="120"/>
        <v>3199.9199999999996</v>
      </c>
      <c r="H3900" s="1" t="str">
        <f>_xlfn.XLOOKUP(C3900,Product!A:A,Product!B:B,"not found",0)</f>
        <v>Trek Domane SLR Frameset - 2018</v>
      </c>
      <c r="I3900" s="1">
        <f t="shared" si="121"/>
        <v>3199.9199999999996</v>
      </c>
    </row>
    <row r="3901" spans="1:9" x14ac:dyDescent="0.2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 s="1">
        <f t="shared" si="120"/>
        <v>2599.79</v>
      </c>
      <c r="H3901" s="1" t="str">
        <f>_xlfn.XLOOKUP(C3901,Product!A:A,Product!B:B,"not found",0)</f>
        <v>Electra Townie Go! 8i Ladies' - 2018</v>
      </c>
      <c r="I3901" s="1">
        <f t="shared" si="121"/>
        <v>2599.79</v>
      </c>
    </row>
    <row r="3902" spans="1:9" x14ac:dyDescent="0.2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 s="1">
        <f t="shared" si="120"/>
        <v>419.78000000000003</v>
      </c>
      <c r="H3902" s="1" t="str">
        <f>_xlfn.XLOOKUP(C3902,Product!A:A,Product!B:B,"not found",0)</f>
        <v>Haro Shredder 20 - 2017</v>
      </c>
      <c r="I3902" s="1">
        <f t="shared" si="121"/>
        <v>419.78000000000003</v>
      </c>
    </row>
    <row r="3903" spans="1:9" x14ac:dyDescent="0.2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 s="1">
        <f t="shared" si="120"/>
        <v>1699.93</v>
      </c>
      <c r="H3903" s="1" t="str">
        <f>_xlfn.XLOOKUP(C3903,Product!A:A,Product!B:B,"not found",0)</f>
        <v>Electra Relic 3i - 2018</v>
      </c>
      <c r="I3903" s="1">
        <f t="shared" si="121"/>
        <v>1699.93</v>
      </c>
    </row>
    <row r="3904" spans="1:9" x14ac:dyDescent="0.2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 s="1">
        <f t="shared" si="120"/>
        <v>1499.91</v>
      </c>
      <c r="H3904" s="1" t="str">
        <f>_xlfn.XLOOKUP(C3904,Product!A:A,Product!B:B,"not found",0)</f>
        <v>Electra Queen of Hearts 3i - 2018</v>
      </c>
      <c r="I3904" s="1">
        <f t="shared" si="121"/>
        <v>1499.91</v>
      </c>
    </row>
    <row r="3905" spans="1:9" x14ac:dyDescent="0.2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 s="1">
        <f t="shared" si="120"/>
        <v>10999.779999999999</v>
      </c>
      <c r="H3905" s="1" t="str">
        <f>_xlfn.XLOOKUP(C3905,Product!A:A,Product!B:B,"not found",0)</f>
        <v>Trek Domane SLR 6 Disc - 2017</v>
      </c>
      <c r="I3905" s="1">
        <f t="shared" si="121"/>
        <v>10999.779999999999</v>
      </c>
    </row>
    <row r="3906" spans="1:9" x14ac:dyDescent="0.2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 s="1">
        <f t="shared" si="120"/>
        <v>1799.93</v>
      </c>
      <c r="H3906" s="1" t="str">
        <f>_xlfn.XLOOKUP(C3906,Product!A:A,Product!B:B,"not found",0)</f>
        <v>Electra Daydreamer 3i Ladies' - 2018</v>
      </c>
      <c r="I3906" s="1">
        <f t="shared" si="121"/>
        <v>1799.93</v>
      </c>
    </row>
    <row r="3907" spans="1:9" x14ac:dyDescent="0.2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 s="1">
        <f t="shared" ref="G3907:G3970" si="122">(E3907*D3907)-F3907</f>
        <v>501.93</v>
      </c>
      <c r="H3907" s="1" t="str">
        <f>_xlfn.XLOOKUP(C3907,Product!A:A,Product!B:B,"not found",0)</f>
        <v>Sun Bicycles Revolutions 24 - 2017</v>
      </c>
      <c r="I3907" s="1">
        <f t="shared" ref="I3907:I3970" si="123">(D3907*E3907)-F3907</f>
        <v>501.93</v>
      </c>
    </row>
    <row r="3908" spans="1:9" x14ac:dyDescent="0.2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 s="1">
        <f t="shared" si="122"/>
        <v>1559.94</v>
      </c>
      <c r="H3908" s="1" t="str">
        <f>_xlfn.XLOOKUP(C3908,Product!A:A,Product!B:B,"not found",0)</f>
        <v>Sun Bicycles ElectroLite - 2017</v>
      </c>
      <c r="I3908" s="1">
        <f t="shared" si="123"/>
        <v>1559.94</v>
      </c>
    </row>
    <row r="3909" spans="1:9" x14ac:dyDescent="0.2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 s="1">
        <f t="shared" si="122"/>
        <v>209.94</v>
      </c>
      <c r="H3909" s="1" t="str">
        <f>_xlfn.XLOOKUP(C3909,Product!A:A,Product!B:B,"not found",0)</f>
        <v>Trek Precaliber 16 Boy's - 2018</v>
      </c>
      <c r="I3909" s="1">
        <f t="shared" si="123"/>
        <v>209.94</v>
      </c>
    </row>
    <row r="3910" spans="1:9" x14ac:dyDescent="0.2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 s="1">
        <f t="shared" si="122"/>
        <v>559.94000000000005</v>
      </c>
      <c r="H3910" s="1" t="str">
        <f>_xlfn.XLOOKUP(C3910,Product!A:A,Product!B:B,"not found",0)</f>
        <v>Electra Townie Original 21D Ladies' - 2018</v>
      </c>
      <c r="I3910" s="1">
        <f t="shared" si="123"/>
        <v>559.94000000000005</v>
      </c>
    </row>
    <row r="3911" spans="1:9" x14ac:dyDescent="0.2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 s="1">
        <f t="shared" si="122"/>
        <v>299.94</v>
      </c>
      <c r="H3911" s="1" t="str">
        <f>_xlfn.XLOOKUP(C3911,Product!A:A,Product!B:B,"not found",0)</f>
        <v>Electra Sugar Skulls 1 (20-inch) - Girl's - 2017</v>
      </c>
      <c r="I3911" s="1">
        <f t="shared" si="123"/>
        <v>299.94</v>
      </c>
    </row>
    <row r="3912" spans="1:9" x14ac:dyDescent="0.2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 s="1">
        <f t="shared" si="122"/>
        <v>6999.78</v>
      </c>
      <c r="H3912" s="1" t="str">
        <f>_xlfn.XLOOKUP(C3912,Product!A:A,Product!B:B,"not found",0)</f>
        <v>Trek Domane SL 6 Disc - 2018</v>
      </c>
      <c r="I3912" s="1">
        <f t="shared" si="123"/>
        <v>6999.78</v>
      </c>
    </row>
    <row r="3913" spans="1:9" x14ac:dyDescent="0.2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 s="1">
        <f t="shared" si="122"/>
        <v>693.78</v>
      </c>
      <c r="H3913" s="1" t="str">
        <f>_xlfn.XLOOKUP(C3913,Product!A:A,Product!B:B,"not found",0)</f>
        <v>Sun Bicycles Lil Bolt Type-R - 2017</v>
      </c>
      <c r="I3913" s="1">
        <f t="shared" si="123"/>
        <v>693.78</v>
      </c>
    </row>
    <row r="3914" spans="1:9" x14ac:dyDescent="0.2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 s="1">
        <f t="shared" si="122"/>
        <v>3299.89</v>
      </c>
      <c r="H3914" s="1" t="str">
        <f>_xlfn.XLOOKUP(C3914,Product!A:A,Product!B:B,"not found",0)</f>
        <v>Trek Boone 5 Disc - 2018</v>
      </c>
      <c r="I3914" s="1">
        <f t="shared" si="123"/>
        <v>3299.89</v>
      </c>
    </row>
    <row r="3915" spans="1:9" x14ac:dyDescent="0.2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 s="1">
        <f t="shared" si="122"/>
        <v>1599.91</v>
      </c>
      <c r="H3915" s="1" t="str">
        <f>_xlfn.XLOOKUP(C3915,Product!A:A,Product!B:B,"not found",0)</f>
        <v>Electra Glam Punk 3i Ladies' - 2017</v>
      </c>
      <c r="I3915" s="1">
        <f t="shared" si="123"/>
        <v>1599.91</v>
      </c>
    </row>
    <row r="3916" spans="1:9" x14ac:dyDescent="0.2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 s="1">
        <f t="shared" si="122"/>
        <v>1103.78</v>
      </c>
      <c r="H3916" s="1" t="str">
        <f>_xlfn.XLOOKUP(C3916,Product!A:A,Product!B:B,"not found",0)</f>
        <v>Sun Bicycles Streamway 3 - 2017</v>
      </c>
      <c r="I3916" s="1">
        <f t="shared" si="123"/>
        <v>1103.78</v>
      </c>
    </row>
    <row r="3917" spans="1:9" x14ac:dyDescent="0.2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 s="1">
        <f t="shared" si="122"/>
        <v>999.92</v>
      </c>
      <c r="H3917" s="1" t="str">
        <f>_xlfn.XLOOKUP(C3917,Product!A:A,Product!B:B,"not found",0)</f>
        <v>Surly Wednesday Frameset - 2016</v>
      </c>
      <c r="I3917" s="1">
        <f t="shared" si="123"/>
        <v>999.92</v>
      </c>
    </row>
    <row r="3918" spans="1:9" x14ac:dyDescent="0.2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 s="1">
        <f t="shared" si="122"/>
        <v>4999.92</v>
      </c>
      <c r="H3918" s="1" t="str">
        <f>_xlfn.XLOOKUP(C3918,Product!A:A,Product!B:B,"not found",0)</f>
        <v>Trek Powerfly 8 FS Plus - 2017</v>
      </c>
      <c r="I3918" s="1">
        <f t="shared" si="123"/>
        <v>4999.92</v>
      </c>
    </row>
    <row r="3919" spans="1:9" x14ac:dyDescent="0.2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 s="1">
        <f t="shared" si="122"/>
        <v>9999.7799999999988</v>
      </c>
      <c r="H3919" s="1" t="str">
        <f>_xlfn.XLOOKUP(C3919,Product!A:A,Product!B:B,"not found",0)</f>
        <v>Trek Fuel EX 9.8 29 - 2017</v>
      </c>
      <c r="I3919" s="1">
        <f t="shared" si="123"/>
        <v>9999.7799999999988</v>
      </c>
    </row>
    <row r="3920" spans="1:9" x14ac:dyDescent="0.2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 s="1">
        <f t="shared" si="122"/>
        <v>6399.9299999999994</v>
      </c>
      <c r="H3920" s="1" t="str">
        <f>_xlfn.XLOOKUP(C3920,Product!A:A,Product!B:B,"not found",0)</f>
        <v>Trek Domane ALR Disc Frameset - 2018</v>
      </c>
      <c r="I3920" s="1">
        <f t="shared" si="123"/>
        <v>6399.9299999999994</v>
      </c>
    </row>
    <row r="3921" spans="1:9" x14ac:dyDescent="0.2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 s="1">
        <f t="shared" si="122"/>
        <v>3097.8</v>
      </c>
      <c r="H3921" s="1" t="str">
        <f>_xlfn.XLOOKUP(C3921,Product!A:A,Product!B:B,"not found",0)</f>
        <v>Surly Straggler 650b - 2018</v>
      </c>
      <c r="I3921" s="1">
        <f t="shared" si="123"/>
        <v>3097.8</v>
      </c>
    </row>
    <row r="3922" spans="1:9" x14ac:dyDescent="0.2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 s="1">
        <f t="shared" si="122"/>
        <v>1499.78</v>
      </c>
      <c r="H3922" s="1" t="str">
        <f>_xlfn.XLOOKUP(C3922,Product!A:A,Product!B:B,"not found",0)</f>
        <v>Ritchey Timberwolf Frameset - 2016</v>
      </c>
      <c r="I3922" s="1">
        <f t="shared" si="123"/>
        <v>1499.78</v>
      </c>
    </row>
    <row r="3923" spans="1:9" x14ac:dyDescent="0.2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 s="1">
        <f t="shared" si="122"/>
        <v>2999.93</v>
      </c>
      <c r="H3923" s="1" t="str">
        <f>_xlfn.XLOOKUP(C3923,Product!A:A,Product!B:B,"not found",0)</f>
        <v>Trek Remedy 27.5 C Frameset - 2018</v>
      </c>
      <c r="I3923" s="1">
        <f t="shared" si="123"/>
        <v>2999.93</v>
      </c>
    </row>
    <row r="3924" spans="1:9" x14ac:dyDescent="0.2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 s="1">
        <f t="shared" si="122"/>
        <v>4499.9399999999996</v>
      </c>
      <c r="H3924" s="1" t="str">
        <f>_xlfn.XLOOKUP(C3924,Product!A:A,Product!B:B,"not found",0)</f>
        <v>Trek Emonda SL 7 - 2018</v>
      </c>
      <c r="I3924" s="1">
        <f t="shared" si="123"/>
        <v>4499.9399999999996</v>
      </c>
    </row>
    <row r="3925" spans="1:9" x14ac:dyDescent="0.2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 s="1">
        <f t="shared" si="122"/>
        <v>897.95</v>
      </c>
      <c r="H3925" s="1" t="str">
        <f>_xlfn.XLOOKUP(C3925,Product!A:A,Product!B:B,"not found",0)</f>
        <v>Pure Cycles Western 3-Speed - Women's - 2015/2016</v>
      </c>
      <c r="I3925" s="1">
        <f t="shared" si="123"/>
        <v>897.95</v>
      </c>
    </row>
    <row r="3926" spans="1:9" x14ac:dyDescent="0.2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 s="1">
        <f t="shared" si="122"/>
        <v>749.89</v>
      </c>
      <c r="H3926" s="1" t="str">
        <f>_xlfn.XLOOKUP(C3926,Product!A:A,Product!B:B,"not found",0)</f>
        <v>Electra White Water 3i - 2018</v>
      </c>
      <c r="I3926" s="1">
        <f t="shared" si="123"/>
        <v>749.89</v>
      </c>
    </row>
    <row r="3927" spans="1:9" x14ac:dyDescent="0.2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 s="1">
        <f t="shared" si="122"/>
        <v>179.78</v>
      </c>
      <c r="H3927" s="1" t="str">
        <f>_xlfn.XLOOKUP(C3927,Product!A:A,Product!B:B,"not found",0)</f>
        <v>Strider Classic 12 Balance Bike - 2018</v>
      </c>
      <c r="I3927" s="1">
        <f t="shared" si="123"/>
        <v>179.78</v>
      </c>
    </row>
    <row r="3928" spans="1:9" x14ac:dyDescent="0.2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 s="1">
        <f t="shared" si="122"/>
        <v>10599.91</v>
      </c>
      <c r="H3928" s="1" t="str">
        <f>_xlfn.XLOOKUP(C3928,Product!A:A,Product!B:B,"not found",0)</f>
        <v>Trek Fuel EX 9.8 27.5 Plus - 2017</v>
      </c>
      <c r="I3928" s="1">
        <f t="shared" si="123"/>
        <v>10599.91</v>
      </c>
    </row>
    <row r="3929" spans="1:9" x14ac:dyDescent="0.2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 s="1">
        <f t="shared" si="122"/>
        <v>749.94</v>
      </c>
      <c r="H3929" s="1" t="str">
        <f>_xlfn.XLOOKUP(C3929,Product!A:A,Product!B:B,"not found",0)</f>
        <v>Surly Ogre Frameset - 2017</v>
      </c>
      <c r="I3929" s="1">
        <f t="shared" si="123"/>
        <v>749.94</v>
      </c>
    </row>
    <row r="3930" spans="1:9" x14ac:dyDescent="0.2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 s="1">
        <f t="shared" si="122"/>
        <v>4999.9399999999996</v>
      </c>
      <c r="H3930" s="1" t="str">
        <f>_xlfn.XLOOKUP(C3930,Product!A:A,Product!B:B,"not found",0)</f>
        <v>Trek Powerfly 7 FS - 2018</v>
      </c>
      <c r="I3930" s="1">
        <f t="shared" si="123"/>
        <v>4999.9399999999996</v>
      </c>
    </row>
    <row r="3931" spans="1:9" x14ac:dyDescent="0.2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 s="1">
        <f t="shared" si="122"/>
        <v>5499.94</v>
      </c>
      <c r="H3931" s="1" t="str">
        <f>_xlfn.XLOOKUP(C3931,Product!A:A,Product!B:B,"not found",0)</f>
        <v>Trek Domane SL 8 Disc - 2018</v>
      </c>
      <c r="I3931" s="1">
        <f t="shared" si="123"/>
        <v>5499.94</v>
      </c>
    </row>
    <row r="3932" spans="1:9" x14ac:dyDescent="0.2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 s="1">
        <f t="shared" si="122"/>
        <v>9999.8799999999992</v>
      </c>
      <c r="H3932" s="1" t="str">
        <f>_xlfn.XLOOKUP(C3932,Product!A:A,Product!B:B,"not found",0)</f>
        <v>Trek Madone 9.2 - 2017</v>
      </c>
      <c r="I3932" s="1">
        <f t="shared" si="123"/>
        <v>9999.8799999999992</v>
      </c>
    </row>
    <row r="3933" spans="1:9" x14ac:dyDescent="0.2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 s="1">
        <f t="shared" si="122"/>
        <v>1799.92</v>
      </c>
      <c r="H3933" s="1" t="str">
        <f>_xlfn.XLOOKUP(C3933,Product!A:A,Product!B:B,"not found",0)</f>
        <v>Trek Domane ALR 5 Gravel - 2018</v>
      </c>
      <c r="I3933" s="1">
        <f t="shared" si="123"/>
        <v>1799.92</v>
      </c>
    </row>
    <row r="3934" spans="1:9" x14ac:dyDescent="0.2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 s="1">
        <f t="shared" si="122"/>
        <v>4499.9299999999994</v>
      </c>
      <c r="H3934" s="1" t="str">
        <f>_xlfn.XLOOKUP(C3934,Product!A:A,Product!B:B,"not found",0)</f>
        <v>Trek Fuel EX 5 Plus - 2018</v>
      </c>
      <c r="I3934" s="1">
        <f t="shared" si="123"/>
        <v>4499.9299999999994</v>
      </c>
    </row>
    <row r="3935" spans="1:9" x14ac:dyDescent="0.2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 s="1">
        <f t="shared" si="122"/>
        <v>9999.91</v>
      </c>
      <c r="H3935" s="1" t="str">
        <f>_xlfn.XLOOKUP(C3935,Product!A:A,Product!B:B,"not found",0)</f>
        <v>Trek Super Commuter+ 8S - 2018</v>
      </c>
      <c r="I3935" s="1">
        <f t="shared" si="123"/>
        <v>9999.91</v>
      </c>
    </row>
    <row r="3936" spans="1:9" x14ac:dyDescent="0.2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 s="1">
        <f t="shared" si="122"/>
        <v>3097.8</v>
      </c>
      <c r="H3936" s="1" t="str">
        <f>_xlfn.XLOOKUP(C3936,Product!A:A,Product!B:B,"not found",0)</f>
        <v>Surly Straggler - 2018</v>
      </c>
      <c r="I3936" s="1">
        <f t="shared" si="123"/>
        <v>3097.8</v>
      </c>
    </row>
    <row r="3937" spans="1:9" x14ac:dyDescent="0.2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 s="1">
        <f t="shared" si="122"/>
        <v>3499.79</v>
      </c>
      <c r="H3937" s="1" t="str">
        <f>_xlfn.XLOOKUP(C3937,Product!A:A,Product!B:B,"not found",0)</f>
        <v>Trek Domane SL 6 Disc - 2018</v>
      </c>
      <c r="I3937" s="1">
        <f t="shared" si="123"/>
        <v>3499.79</v>
      </c>
    </row>
    <row r="3938" spans="1:9" x14ac:dyDescent="0.2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 s="1">
        <f t="shared" si="122"/>
        <v>749.89</v>
      </c>
      <c r="H3938" s="1" t="str">
        <f>_xlfn.XLOOKUP(C3938,Product!A:A,Product!B:B,"not found",0)</f>
        <v>Electra Townie Balloon 3i EQ - 2017/2018</v>
      </c>
      <c r="I3938" s="1">
        <f t="shared" si="123"/>
        <v>749.89</v>
      </c>
    </row>
    <row r="3939" spans="1:9" x14ac:dyDescent="0.2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 s="1">
        <f t="shared" si="122"/>
        <v>2599.9199999999996</v>
      </c>
      <c r="H3939" s="1" t="str">
        <f>_xlfn.XLOOKUP(C3939,Product!A:A,Product!B:B,"not found",0)</f>
        <v>Electra Townie Go! 8i - 2017/2018</v>
      </c>
      <c r="I3939" s="1">
        <f t="shared" si="123"/>
        <v>2599.9199999999996</v>
      </c>
    </row>
    <row r="3940" spans="1:9" x14ac:dyDescent="0.2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 s="1">
        <f t="shared" si="122"/>
        <v>2599.9199999999996</v>
      </c>
      <c r="H3940" s="1" t="str">
        <f>_xlfn.XLOOKUP(C3940,Product!A:A,Product!B:B,"not found",0)</f>
        <v>Electra Townie Go! 8i Ladies' - 2018</v>
      </c>
      <c r="I3940" s="1">
        <f t="shared" si="123"/>
        <v>2599.9199999999996</v>
      </c>
    </row>
    <row r="3941" spans="1:9" x14ac:dyDescent="0.2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 s="1">
        <f t="shared" si="122"/>
        <v>2299.9399999999996</v>
      </c>
      <c r="H3941" s="1" t="str">
        <f>_xlfn.XLOOKUP(C3941,Product!A:A,Product!B:B,"not found",0)</f>
        <v>Trek Emonda ALR 6 - 2018</v>
      </c>
      <c r="I3941" s="1">
        <f t="shared" si="123"/>
        <v>2299.9399999999996</v>
      </c>
    </row>
    <row r="3942" spans="1:9" x14ac:dyDescent="0.2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 s="1">
        <f t="shared" si="122"/>
        <v>539.78</v>
      </c>
      <c r="H3942" s="1" t="str">
        <f>_xlfn.XLOOKUP(C3942,Product!A:A,Product!B:B,"not found",0)</f>
        <v>Electra Cruiser 1 (24-Inch) - 2016</v>
      </c>
      <c r="I3942" s="1">
        <f t="shared" si="123"/>
        <v>539.78</v>
      </c>
    </row>
    <row r="3943" spans="1:9" x14ac:dyDescent="0.2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 s="1">
        <f t="shared" si="122"/>
        <v>559.78</v>
      </c>
      <c r="H3943" s="1" t="str">
        <f>_xlfn.XLOOKUP(C3943,Product!A:A,Product!B:B,"not found",0)</f>
        <v>Electra Under-The-Sea 1 16" - 2018</v>
      </c>
      <c r="I3943" s="1">
        <f t="shared" si="123"/>
        <v>559.78</v>
      </c>
    </row>
    <row r="3944" spans="1:9" x14ac:dyDescent="0.2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 s="1">
        <f t="shared" si="122"/>
        <v>1499.89</v>
      </c>
      <c r="H3944" s="1" t="str">
        <f>_xlfn.XLOOKUP(C3944,Product!A:A,Product!B:B,"not found",0)</f>
        <v>Trek Procaliber Frameset - 2018</v>
      </c>
      <c r="I3944" s="1">
        <f t="shared" si="123"/>
        <v>1499.89</v>
      </c>
    </row>
    <row r="3945" spans="1:9" x14ac:dyDescent="0.2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 s="1">
        <f t="shared" si="122"/>
        <v>1799.79</v>
      </c>
      <c r="H3945" s="1" t="str">
        <f>_xlfn.XLOOKUP(C3945,Product!A:A,Product!B:B,"not found",0)</f>
        <v>Trek Procaliber 6 - 2018</v>
      </c>
      <c r="I3945" s="1">
        <f t="shared" si="123"/>
        <v>1799.79</v>
      </c>
    </row>
    <row r="3946" spans="1:9" x14ac:dyDescent="0.2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 s="1">
        <f t="shared" si="122"/>
        <v>1751.88</v>
      </c>
      <c r="H3946" s="1" t="str">
        <f>_xlfn.XLOOKUP(C3946,Product!A:A,Product!B:B,"not found",0)</f>
        <v>Surly Steamroller - 2017</v>
      </c>
      <c r="I3946" s="1">
        <f t="shared" si="123"/>
        <v>1751.88</v>
      </c>
    </row>
    <row r="3947" spans="1:9" x14ac:dyDescent="0.2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 s="1">
        <f t="shared" si="122"/>
        <v>559.88</v>
      </c>
      <c r="H3947" s="1" t="str">
        <f>_xlfn.XLOOKUP(C3947,Product!A:A,Product!B:B,"not found",0)</f>
        <v>Electra Cyclosaurus 1 (16-inch) - Boy's - 2018</v>
      </c>
      <c r="I3947" s="1">
        <f t="shared" si="123"/>
        <v>559.88</v>
      </c>
    </row>
    <row r="3948" spans="1:9" x14ac:dyDescent="0.2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 s="1">
        <f t="shared" si="122"/>
        <v>299.78000000000003</v>
      </c>
      <c r="H3948" s="1" t="str">
        <f>_xlfn.XLOOKUP(C3948,Product!A:A,Product!B:B,"not found",0)</f>
        <v>Trek Girl's Kickster - 2017</v>
      </c>
      <c r="I3948" s="1">
        <f t="shared" si="123"/>
        <v>299.78000000000003</v>
      </c>
    </row>
    <row r="3949" spans="1:9" x14ac:dyDescent="0.2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 s="1">
        <f t="shared" si="122"/>
        <v>489.94</v>
      </c>
      <c r="H3949" s="1" t="str">
        <f>_xlfn.XLOOKUP(C3949,Product!A:A,Product!B:B,"not found",0)</f>
        <v>Electra Townie 3i EQ (20-inch) - Boys' - 2017</v>
      </c>
      <c r="I3949" s="1">
        <f t="shared" si="123"/>
        <v>489.94</v>
      </c>
    </row>
    <row r="3950" spans="1:9" x14ac:dyDescent="0.2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 s="1">
        <f t="shared" si="122"/>
        <v>833.93000000000006</v>
      </c>
      <c r="H3950" s="1" t="str">
        <f>_xlfn.XLOOKUP(C3950,Product!A:A,Product!B:B,"not found",0)</f>
        <v>Sun Bicycles Cruz 7 - 2017</v>
      </c>
      <c r="I3950" s="1">
        <f t="shared" si="123"/>
        <v>833.93000000000006</v>
      </c>
    </row>
    <row r="3951" spans="1:9" x14ac:dyDescent="0.2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 s="1">
        <f t="shared" si="122"/>
        <v>639.91999999999996</v>
      </c>
      <c r="H3951" s="1" t="str">
        <f>_xlfn.XLOOKUP(C3951,Product!A:A,Product!B:B,"not found",0)</f>
        <v>Electra Cruiser Lux Fat Tire 7D - 2018</v>
      </c>
      <c r="I3951" s="1">
        <f t="shared" si="123"/>
        <v>639.91999999999996</v>
      </c>
    </row>
    <row r="3952" spans="1:9" x14ac:dyDescent="0.2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 s="1">
        <f t="shared" si="122"/>
        <v>799.79</v>
      </c>
      <c r="H3952" s="1" t="str">
        <f>_xlfn.XLOOKUP(C3952,Product!A:A,Product!B:B,"not found",0)</f>
        <v>Electra Townie Balloon 3i EQ Ladies' - 2018</v>
      </c>
      <c r="I3952" s="1">
        <f t="shared" si="123"/>
        <v>799.79</v>
      </c>
    </row>
    <row r="3953" spans="1:9" x14ac:dyDescent="0.2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 s="1">
        <f t="shared" si="122"/>
        <v>299.93</v>
      </c>
      <c r="H3953" s="1" t="str">
        <f>_xlfn.XLOOKUP(C3953,Product!A:A,Product!B:B,"not found",0)</f>
        <v>Trek Girl's Kickster - 2017</v>
      </c>
      <c r="I3953" s="1">
        <f t="shared" si="123"/>
        <v>299.93</v>
      </c>
    </row>
    <row r="3954" spans="1:9" x14ac:dyDescent="0.2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 s="1">
        <f t="shared" si="122"/>
        <v>1499.91</v>
      </c>
      <c r="H3954" s="1" t="str">
        <f>_xlfn.XLOOKUP(C3954,Product!A:A,Product!B:B,"not found",0)</f>
        <v>Trek Domane AL 2 Women's - 2018</v>
      </c>
      <c r="I3954" s="1">
        <f t="shared" si="123"/>
        <v>1499.91</v>
      </c>
    </row>
    <row r="3955" spans="1:9" x14ac:dyDescent="0.2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 s="1">
        <f t="shared" si="122"/>
        <v>279.89</v>
      </c>
      <c r="H3955" s="1" t="str">
        <f>_xlfn.XLOOKUP(C3955,Product!A:A,Product!B:B,"not found",0)</f>
        <v>Electra Under-The-Sea 1 16" - 2018</v>
      </c>
      <c r="I3955" s="1">
        <f t="shared" si="123"/>
        <v>279.89</v>
      </c>
    </row>
    <row r="3956" spans="1:9" x14ac:dyDescent="0.2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 s="1">
        <f t="shared" si="122"/>
        <v>2599.9199999999996</v>
      </c>
      <c r="H3956" s="1" t="str">
        <f>_xlfn.XLOOKUP(C3956,Product!A:A,Product!B:B,"not found",0)</f>
        <v>Electra Townie Go! 8i Ladies' - 2018</v>
      </c>
      <c r="I3956" s="1">
        <f t="shared" si="123"/>
        <v>2599.9199999999996</v>
      </c>
    </row>
    <row r="3957" spans="1:9" x14ac:dyDescent="0.2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 s="1">
        <f t="shared" si="122"/>
        <v>7499.79</v>
      </c>
      <c r="H3957" s="1" t="str">
        <f>_xlfn.XLOOKUP(C3957,Product!A:A,Product!B:B,"not found",0)</f>
        <v>Trek Domane SLR 8 Disc - 2018</v>
      </c>
      <c r="I3957" s="1">
        <f t="shared" si="123"/>
        <v>7499.79</v>
      </c>
    </row>
    <row r="3958" spans="1:9" x14ac:dyDescent="0.2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 s="1">
        <f t="shared" si="122"/>
        <v>899.88</v>
      </c>
      <c r="H3958" s="1" t="str">
        <f>_xlfn.XLOOKUP(C3958,Product!A:A,Product!B:B,"not found",0)</f>
        <v>Electra Townie Original 1 Ladies' - 2018</v>
      </c>
      <c r="I3958" s="1">
        <f t="shared" si="123"/>
        <v>899.88</v>
      </c>
    </row>
    <row r="3959" spans="1:9" x14ac:dyDescent="0.2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 s="1">
        <f t="shared" si="122"/>
        <v>2599.9399999999996</v>
      </c>
      <c r="H3959" s="1" t="str">
        <f>_xlfn.XLOOKUP(C3959,Product!A:A,Product!B:B,"not found",0)</f>
        <v>Electra Townie Go! 8i - 2017/2018</v>
      </c>
      <c r="I3959" s="1">
        <f t="shared" si="123"/>
        <v>2599.9399999999996</v>
      </c>
    </row>
    <row r="3960" spans="1:9" x14ac:dyDescent="0.2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 s="1">
        <f t="shared" si="122"/>
        <v>5999.8799999999992</v>
      </c>
      <c r="H3960" s="1" t="str">
        <f>_xlfn.XLOOKUP(C3960,Product!A:A,Product!B:B,"not found",0)</f>
        <v>Electra Townie Commute Go! Ladies' - 2018</v>
      </c>
      <c r="I3960" s="1">
        <f t="shared" si="123"/>
        <v>5999.8799999999992</v>
      </c>
    </row>
    <row r="3961" spans="1:9" x14ac:dyDescent="0.2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 s="1">
        <f t="shared" si="122"/>
        <v>639.88</v>
      </c>
      <c r="H3961" s="1" t="str">
        <f>_xlfn.XLOOKUP(C3961,Product!A:A,Product!B:B,"not found",0)</f>
        <v>Trek Precaliber 24 (7-Speed) - Boys - 2018</v>
      </c>
      <c r="I3961" s="1">
        <f t="shared" si="123"/>
        <v>639.88</v>
      </c>
    </row>
    <row r="3962" spans="1:9" x14ac:dyDescent="0.2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 s="1">
        <f t="shared" si="122"/>
        <v>3599.78</v>
      </c>
      <c r="H3962" s="1" t="str">
        <f>_xlfn.XLOOKUP(C3962,Product!A:A,Product!B:B,"not found",0)</f>
        <v>Trek Domane ALR 5 Disc - 2018</v>
      </c>
      <c r="I3962" s="1">
        <f t="shared" si="123"/>
        <v>3599.78</v>
      </c>
    </row>
    <row r="3963" spans="1:9" x14ac:dyDescent="0.2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 s="1">
        <f t="shared" si="122"/>
        <v>1559.79</v>
      </c>
      <c r="H3963" s="1" t="str">
        <f>_xlfn.XLOOKUP(C3963,Product!A:A,Product!B:B,"not found",0)</f>
        <v>Sun Bicycles ElectroLite - 2017</v>
      </c>
      <c r="I3963" s="1">
        <f t="shared" si="123"/>
        <v>1559.79</v>
      </c>
    </row>
    <row r="3964" spans="1:9" x14ac:dyDescent="0.2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 s="1">
        <f t="shared" si="122"/>
        <v>919.79</v>
      </c>
      <c r="H3964" s="1" t="str">
        <f>_xlfn.XLOOKUP(C3964,Product!A:A,Product!B:B,"not found",0)</f>
        <v>Trek Stache Carbon Frameset - 2018</v>
      </c>
      <c r="I3964" s="1">
        <f t="shared" si="123"/>
        <v>919.79</v>
      </c>
    </row>
    <row r="3965" spans="1:9" x14ac:dyDescent="0.2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 s="1">
        <f t="shared" si="122"/>
        <v>1799.78</v>
      </c>
      <c r="H3965" s="1" t="str">
        <f>_xlfn.XLOOKUP(C3965,Product!A:A,Product!B:B,"not found",0)</f>
        <v>Electra Amsterdam Fashion 3i Ladies' - 2017/2018</v>
      </c>
      <c r="I3965" s="1">
        <f t="shared" si="123"/>
        <v>1799.78</v>
      </c>
    </row>
    <row r="3966" spans="1:9" x14ac:dyDescent="0.2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 s="1">
        <f t="shared" si="122"/>
        <v>279.94</v>
      </c>
      <c r="H3966" s="1" t="str">
        <f>_xlfn.XLOOKUP(C3966,Product!A:A,Product!B:B,"not found",0)</f>
        <v>Electra Cyclosaurus 1 (16-inch) - Boy's - 2018</v>
      </c>
      <c r="I3966" s="1">
        <f t="shared" si="123"/>
        <v>279.94</v>
      </c>
    </row>
    <row r="3967" spans="1:9" x14ac:dyDescent="0.2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 s="1">
        <f t="shared" si="122"/>
        <v>659.94</v>
      </c>
      <c r="H3967" s="1" t="str">
        <f>_xlfn.XLOOKUP(C3967,Product!A:A,Product!B:B,"not found",0)</f>
        <v>Electra Amsterdam Original 3i Ladies' - 2017</v>
      </c>
      <c r="I3967" s="1">
        <f t="shared" si="123"/>
        <v>659.94</v>
      </c>
    </row>
    <row r="3968" spans="1:9" x14ac:dyDescent="0.2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 s="1">
        <f t="shared" si="122"/>
        <v>1632.94</v>
      </c>
      <c r="H3968" s="1" t="str">
        <f>_xlfn.XLOOKUP(C3968,Product!A:A,Product!B:B,"not found",0)</f>
        <v>Surly Wednesday - 2017</v>
      </c>
      <c r="I3968" s="1">
        <f t="shared" si="123"/>
        <v>1632.94</v>
      </c>
    </row>
    <row r="3969" spans="1:9" x14ac:dyDescent="0.2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 s="1">
        <f t="shared" si="122"/>
        <v>1499.91</v>
      </c>
      <c r="H3969" s="1" t="str">
        <f>_xlfn.XLOOKUP(C3969,Product!A:A,Product!B:B,"not found",0)</f>
        <v>Electra Townie Balloon 8D EQ - 2016/2017/2018</v>
      </c>
      <c r="I3969" s="1">
        <f t="shared" si="123"/>
        <v>1499.91</v>
      </c>
    </row>
    <row r="3970" spans="1:9" x14ac:dyDescent="0.2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 s="1">
        <f t="shared" si="122"/>
        <v>4999.9399999999996</v>
      </c>
      <c r="H3970" s="1" t="str">
        <f>_xlfn.XLOOKUP(C3970,Product!A:A,Product!B:B,"not found",0)</f>
        <v>Trek Domane SL 7 Women's - 2018</v>
      </c>
      <c r="I3970" s="1">
        <f t="shared" si="123"/>
        <v>4999.9399999999996</v>
      </c>
    </row>
    <row r="3971" spans="1:9" x14ac:dyDescent="0.2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 s="1">
        <f t="shared" ref="G3971:G4034" si="124">(E3971*D3971)-F3971</f>
        <v>2697.8</v>
      </c>
      <c r="H3971" s="1" t="str">
        <f>_xlfn.XLOOKUP(C3971,Product!A:A,Product!B:B,"not found",0)</f>
        <v>Surly Pack Rat - 2018</v>
      </c>
      <c r="I3971" s="1">
        <f t="shared" ref="I3971:I4034" si="125">(D3971*E3971)-F3971</f>
        <v>2697.8</v>
      </c>
    </row>
    <row r="3972" spans="1:9" x14ac:dyDescent="0.2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 s="1">
        <f t="shared" si="124"/>
        <v>1999.78</v>
      </c>
      <c r="H3972" s="1" t="str">
        <f>_xlfn.XLOOKUP(C3972,Product!A:A,Product!B:B,"not found",0)</f>
        <v>Surly Big Dummy Frameset - 2017</v>
      </c>
      <c r="I3972" s="1">
        <f t="shared" si="125"/>
        <v>1999.78</v>
      </c>
    </row>
    <row r="3973" spans="1:9" x14ac:dyDescent="0.2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 s="1">
        <f t="shared" si="124"/>
        <v>7199.91</v>
      </c>
      <c r="H3973" s="1" t="str">
        <f>_xlfn.XLOOKUP(C3973,Product!A:A,Product!B:B,"not found",0)</f>
        <v>Trek Super Commuter+ 7 - 2018</v>
      </c>
      <c r="I3973" s="1">
        <f t="shared" si="125"/>
        <v>7199.91</v>
      </c>
    </row>
    <row r="3974" spans="1:9" x14ac:dyDescent="0.2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 s="1">
        <f t="shared" si="124"/>
        <v>5799.78</v>
      </c>
      <c r="H3974" s="1" t="str">
        <f>_xlfn.XLOOKUP(C3974,Product!A:A,Product!B:B,"not found",0)</f>
        <v>Trek Fuel EX 8 29 - 2016</v>
      </c>
      <c r="I3974" s="1">
        <f t="shared" si="125"/>
        <v>5799.78</v>
      </c>
    </row>
    <row r="3975" spans="1:9" x14ac:dyDescent="0.2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 s="1">
        <f t="shared" si="124"/>
        <v>501.88</v>
      </c>
      <c r="H3975" s="1" t="str">
        <f>_xlfn.XLOOKUP(C3975,Product!A:A,Product!B:B,"not found",0)</f>
        <v>Sun Bicycles Revolutions 24 - 2017</v>
      </c>
      <c r="I3975" s="1">
        <f t="shared" si="125"/>
        <v>501.88</v>
      </c>
    </row>
    <row r="3976" spans="1:9" x14ac:dyDescent="0.2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 s="1">
        <f t="shared" si="124"/>
        <v>647.91999999999996</v>
      </c>
      <c r="H3976" s="1" t="str">
        <f>_xlfn.XLOOKUP(C3976,Product!A:A,Product!B:B,"not found",0)</f>
        <v>Sun Bicycles Biscayne Tandem CB - 2017</v>
      </c>
      <c r="I3976" s="1">
        <f t="shared" si="125"/>
        <v>647.91999999999996</v>
      </c>
    </row>
    <row r="3977" spans="1:9" x14ac:dyDescent="0.2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 s="1">
        <f t="shared" si="124"/>
        <v>23999.88</v>
      </c>
      <c r="H3977" s="1" t="str">
        <f>_xlfn.XLOOKUP(C3977,Product!A:A,Product!B:B,"not found",0)</f>
        <v>Trek Domane SLR 9 Disc - 2018</v>
      </c>
      <c r="I3977" s="1">
        <f t="shared" si="125"/>
        <v>23999.88</v>
      </c>
    </row>
    <row r="3978" spans="1:9" x14ac:dyDescent="0.2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 s="1">
        <f t="shared" si="124"/>
        <v>2499.89</v>
      </c>
      <c r="H3978" s="1" t="str">
        <f>_xlfn.XLOOKUP(C3978,Product!A:A,Product!B:B,"not found",0)</f>
        <v>Trek Domane SL 5 Disc Women's - 2018</v>
      </c>
      <c r="I3978" s="1">
        <f t="shared" si="125"/>
        <v>2499.89</v>
      </c>
    </row>
    <row r="3979" spans="1:9" x14ac:dyDescent="0.2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 s="1">
        <f t="shared" si="124"/>
        <v>470.92</v>
      </c>
      <c r="H3979" s="1" t="str">
        <f>_xlfn.XLOOKUP(C3979,Product!A:A,Product!B:B,"not found",0)</f>
        <v>Sun Bicycles Drifter 7 - 2017</v>
      </c>
      <c r="I3979" s="1">
        <f t="shared" si="125"/>
        <v>470.92</v>
      </c>
    </row>
    <row r="3980" spans="1:9" x14ac:dyDescent="0.2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 s="1">
        <f t="shared" si="124"/>
        <v>1549.92</v>
      </c>
      <c r="H3980" s="1" t="str">
        <f>_xlfn.XLOOKUP(C3980,Product!A:A,Product!B:B,"not found",0)</f>
        <v>Trek Domane ALR 4 Disc - 2018</v>
      </c>
      <c r="I3980" s="1">
        <f t="shared" si="125"/>
        <v>1549.92</v>
      </c>
    </row>
    <row r="3981" spans="1:9" x14ac:dyDescent="0.2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 s="1">
        <f t="shared" si="124"/>
        <v>4999.92</v>
      </c>
      <c r="H3981" s="1" t="str">
        <f>_xlfn.XLOOKUP(C3981,Product!A:A,Product!B:B,"not found",0)</f>
        <v>Trek Madone 9.2 - 2017</v>
      </c>
      <c r="I3981" s="1">
        <f t="shared" si="125"/>
        <v>4999.92</v>
      </c>
    </row>
    <row r="3982" spans="1:9" x14ac:dyDescent="0.2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 s="1">
        <f t="shared" si="124"/>
        <v>749.94</v>
      </c>
      <c r="H3982" s="1" t="str">
        <f>_xlfn.XLOOKUP(C3982,Product!A:A,Product!B:B,"not found",0)</f>
        <v>Electra Morningstar 3i Ladies' - 2018</v>
      </c>
      <c r="I3982" s="1">
        <f t="shared" si="125"/>
        <v>749.94</v>
      </c>
    </row>
    <row r="3983" spans="1:9" x14ac:dyDescent="0.2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 s="1">
        <f t="shared" si="124"/>
        <v>3199.89</v>
      </c>
      <c r="H3983" s="1" t="str">
        <f>_xlfn.XLOOKUP(C3983,Product!A:A,Product!B:B,"not found",0)</f>
        <v>Trek Fuel EX 8 29 - 2018</v>
      </c>
      <c r="I3983" s="1">
        <f t="shared" si="125"/>
        <v>3199.89</v>
      </c>
    </row>
    <row r="3984" spans="1:9" x14ac:dyDescent="0.2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 s="1">
        <f t="shared" si="124"/>
        <v>3797.8</v>
      </c>
      <c r="H3984" s="1" t="str">
        <f>_xlfn.XLOOKUP(C3984,Product!A:A,Product!B:B,"not found",0)</f>
        <v>Surly ECR 27.5 - 2018</v>
      </c>
      <c r="I3984" s="1">
        <f t="shared" si="125"/>
        <v>3797.8</v>
      </c>
    </row>
    <row r="3985" spans="1:9" x14ac:dyDescent="0.2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 s="1">
        <f t="shared" si="124"/>
        <v>3499.9199999999996</v>
      </c>
      <c r="H3985" s="1" t="str">
        <f>_xlfn.XLOOKUP(C3985,Product!A:A,Product!B:B,"not found",0)</f>
        <v>Trek Powerfly 5 - 2018</v>
      </c>
      <c r="I3985" s="1">
        <f t="shared" si="125"/>
        <v>3499.9199999999996</v>
      </c>
    </row>
    <row r="3986" spans="1:9" x14ac:dyDescent="0.2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 s="1">
        <f t="shared" si="124"/>
        <v>1499.89</v>
      </c>
      <c r="H3986" s="1" t="str">
        <f>_xlfn.XLOOKUP(C3986,Product!A:A,Product!B:B,"not found",0)</f>
        <v>Trek Procal AL Frameset - 2018</v>
      </c>
      <c r="I3986" s="1">
        <f t="shared" si="125"/>
        <v>1499.89</v>
      </c>
    </row>
    <row r="3987" spans="1:9" x14ac:dyDescent="0.2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 s="1">
        <f t="shared" si="124"/>
        <v>5197.8</v>
      </c>
      <c r="H3987" s="1" t="str">
        <f>_xlfn.XLOOKUP(C3987,Product!A:A,Product!B:B,"not found",0)</f>
        <v>Heller Bloodhound Trail - 2018</v>
      </c>
      <c r="I3987" s="1">
        <f t="shared" si="125"/>
        <v>5197.8</v>
      </c>
    </row>
    <row r="3988" spans="1:9" x14ac:dyDescent="0.2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 s="1">
        <f t="shared" si="124"/>
        <v>1498.93</v>
      </c>
      <c r="H3988" s="1" t="str">
        <f>_xlfn.XLOOKUP(C3988,Product!A:A,Product!B:B,"not found",0)</f>
        <v>Surly Krampus - 2018</v>
      </c>
      <c r="I3988" s="1">
        <f t="shared" si="125"/>
        <v>1498.93</v>
      </c>
    </row>
    <row r="3989" spans="1:9" x14ac:dyDescent="0.2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 s="1">
        <f t="shared" si="124"/>
        <v>1099.93</v>
      </c>
      <c r="H3989" s="1" t="str">
        <f>_xlfn.XLOOKUP(C3989,Product!A:A,Product!B:B,"not found",0)</f>
        <v>Electra Townie Original 21D - 2016</v>
      </c>
      <c r="I3989" s="1">
        <f t="shared" si="125"/>
        <v>1099.93</v>
      </c>
    </row>
    <row r="3990" spans="1:9" x14ac:dyDescent="0.2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 s="1">
        <f t="shared" si="124"/>
        <v>250.89000000000001</v>
      </c>
      <c r="H3990" s="1" t="str">
        <f>_xlfn.XLOOKUP(C3990,Product!A:A,Product!B:B,"not found",0)</f>
        <v>Sun Bicycles Revolutions 24 - 2017</v>
      </c>
      <c r="I3990" s="1">
        <f t="shared" si="125"/>
        <v>250.89000000000001</v>
      </c>
    </row>
    <row r="3991" spans="1:9" x14ac:dyDescent="0.2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 s="1">
        <f t="shared" si="124"/>
        <v>979.91</v>
      </c>
      <c r="H3991" s="1" t="str">
        <f>_xlfn.XLOOKUP(C3991,Product!A:A,Product!B:B,"not found",0)</f>
        <v>Trek Marlin 5 - 2018</v>
      </c>
      <c r="I3991" s="1">
        <f t="shared" si="125"/>
        <v>979.91</v>
      </c>
    </row>
    <row r="3992" spans="1:9" x14ac:dyDescent="0.2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 s="1">
        <f t="shared" si="124"/>
        <v>4499.79</v>
      </c>
      <c r="H3992" s="1" t="str">
        <f>_xlfn.XLOOKUP(C3992,Product!A:A,Product!B:B,"not found",0)</f>
        <v>Trek CrossRip+ - 2018</v>
      </c>
      <c r="I3992" s="1">
        <f t="shared" si="125"/>
        <v>4499.79</v>
      </c>
    </row>
    <row r="3993" spans="1:9" x14ac:dyDescent="0.2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 s="1">
        <f t="shared" si="124"/>
        <v>539.93000000000006</v>
      </c>
      <c r="H3993" s="1" t="str">
        <f>_xlfn.XLOOKUP(C3993,Product!A:A,Product!B:B,"not found",0)</f>
        <v>Electra Cruiser 1 - 2016/2017/2018</v>
      </c>
      <c r="I3993" s="1">
        <f t="shared" si="125"/>
        <v>539.93000000000006</v>
      </c>
    </row>
    <row r="3994" spans="1:9" x14ac:dyDescent="0.2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 s="1">
        <f t="shared" si="124"/>
        <v>3999.9199999999996</v>
      </c>
      <c r="H3994" s="1" t="str">
        <f>_xlfn.XLOOKUP(C3994,Product!A:A,Product!B:B,"not found",0)</f>
        <v>Trek Slash 8 27.5 - 2016</v>
      </c>
      <c r="I3994" s="1">
        <f t="shared" si="125"/>
        <v>3999.9199999999996</v>
      </c>
    </row>
    <row r="3995" spans="1:9" x14ac:dyDescent="0.2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 s="1">
        <f t="shared" si="124"/>
        <v>419.88</v>
      </c>
      <c r="H3995" s="1" t="str">
        <f>_xlfn.XLOOKUP(C3995,Product!A:A,Product!B:B,"not found",0)</f>
        <v>Trek Precaliber 16 Boys - 2017</v>
      </c>
      <c r="I3995" s="1">
        <f t="shared" si="125"/>
        <v>419.88</v>
      </c>
    </row>
    <row r="3996" spans="1:9" x14ac:dyDescent="0.2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 s="1">
        <f t="shared" si="124"/>
        <v>3599.78</v>
      </c>
      <c r="H3996" s="1" t="str">
        <f>_xlfn.XLOOKUP(C3996,Product!A:A,Product!B:B,"not found",0)</f>
        <v>Trek Crockett 5 Disc - 2018</v>
      </c>
      <c r="I3996" s="1">
        <f t="shared" si="125"/>
        <v>3599.78</v>
      </c>
    </row>
    <row r="3997" spans="1:9" x14ac:dyDescent="0.2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 s="1">
        <f t="shared" si="124"/>
        <v>1499.89</v>
      </c>
      <c r="H3997" s="1" t="str">
        <f>_xlfn.XLOOKUP(C3997,Product!A:A,Product!B:B,"not found",0)</f>
        <v>Trek Remedy 27.5 C Frameset - 2018</v>
      </c>
      <c r="I3997" s="1">
        <f t="shared" si="125"/>
        <v>1499.89</v>
      </c>
    </row>
    <row r="3998" spans="1:9" x14ac:dyDescent="0.2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 s="1">
        <f t="shared" si="124"/>
        <v>1059.9100000000001</v>
      </c>
      <c r="H3998" s="1" t="str">
        <f>_xlfn.XLOOKUP(C3998,Product!A:A,Product!B:B,"not found",0)</f>
        <v>Electra Cruiser Lux 3i - 2018</v>
      </c>
      <c r="I3998" s="1">
        <f t="shared" si="125"/>
        <v>1059.9100000000001</v>
      </c>
    </row>
    <row r="3999" spans="1:9" x14ac:dyDescent="0.2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 s="1">
        <f t="shared" si="124"/>
        <v>3599.78</v>
      </c>
      <c r="H3999" s="1" t="str">
        <f>_xlfn.XLOOKUP(C3999,Product!A:A,Product!B:B,"not found",0)</f>
        <v>Trek Remedy 29 Carbon Frameset - 2016</v>
      </c>
      <c r="I3999" s="1">
        <f t="shared" si="125"/>
        <v>3599.78</v>
      </c>
    </row>
    <row r="4000" spans="1:9" x14ac:dyDescent="0.2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 s="1">
        <f t="shared" si="124"/>
        <v>749.92</v>
      </c>
      <c r="H4000" s="1" t="str">
        <f>_xlfn.XLOOKUP(C4000,Product!A:A,Product!B:B,"not found",0)</f>
        <v>Electra Townie Balloon 8D EQ - 2016/2017/2018</v>
      </c>
      <c r="I4000" s="1">
        <f t="shared" si="125"/>
        <v>749.92</v>
      </c>
    </row>
    <row r="4001" spans="1:9" x14ac:dyDescent="0.2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 s="1">
        <f t="shared" si="124"/>
        <v>639.78</v>
      </c>
      <c r="H4001" s="1" t="str">
        <f>_xlfn.XLOOKUP(C4001,Product!A:A,Product!B:B,"not found",0)</f>
        <v>Electra Heartchya 1 (20-inch) - Girl's - 2018</v>
      </c>
      <c r="I4001" s="1">
        <f t="shared" si="125"/>
        <v>639.78</v>
      </c>
    </row>
    <row r="4002" spans="1:9" x14ac:dyDescent="0.2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 s="1">
        <f t="shared" si="124"/>
        <v>3499.89</v>
      </c>
      <c r="H4002" s="1" t="str">
        <f>_xlfn.XLOOKUP(C4002,Product!A:A,Product!B:B,"not found",0)</f>
        <v>Trek Boone Race Shop Limited - 2017</v>
      </c>
      <c r="I4002" s="1">
        <f t="shared" si="125"/>
        <v>3499.89</v>
      </c>
    </row>
    <row r="4003" spans="1:9" x14ac:dyDescent="0.2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 s="1">
        <f t="shared" si="124"/>
        <v>4399.9299999999994</v>
      </c>
      <c r="H4003" s="1" t="str">
        <f>_xlfn.XLOOKUP(C4003,Product!A:A,Product!B:B,"not found",0)</f>
        <v>Trek Domane SL 5 - 2018</v>
      </c>
      <c r="I4003" s="1">
        <f t="shared" si="125"/>
        <v>4399.9299999999994</v>
      </c>
    </row>
    <row r="4004" spans="1:9" x14ac:dyDescent="0.2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 s="1">
        <f t="shared" si="124"/>
        <v>1839.91</v>
      </c>
      <c r="H4004" s="1" t="str">
        <f>_xlfn.XLOOKUP(C4004,Product!A:A,Product!B:B,"not found",0)</f>
        <v>Trek Stache Carbon Frameset - 2018</v>
      </c>
      <c r="I4004" s="1">
        <f t="shared" si="125"/>
        <v>1839.91</v>
      </c>
    </row>
    <row r="4005" spans="1:9" x14ac:dyDescent="0.2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 s="1">
        <f t="shared" si="124"/>
        <v>3599.93</v>
      </c>
      <c r="H4005" s="1" t="str">
        <f>_xlfn.XLOOKUP(C4005,Product!A:A,Product!B:B,"not found",0)</f>
        <v>Trek Domane ALR 5 Gravel - 2018</v>
      </c>
      <c r="I4005" s="1">
        <f t="shared" si="125"/>
        <v>3599.93</v>
      </c>
    </row>
    <row r="4006" spans="1:9" x14ac:dyDescent="0.2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 s="1">
        <f t="shared" si="124"/>
        <v>2499.79</v>
      </c>
      <c r="H4006" s="1" t="str">
        <f>_xlfn.XLOOKUP(C4006,Product!A:A,Product!B:B,"not found",0)</f>
        <v>Trek Domane SL 5 Disc - 2018</v>
      </c>
      <c r="I4006" s="1">
        <f t="shared" si="125"/>
        <v>2499.79</v>
      </c>
    </row>
    <row r="4007" spans="1:9" x14ac:dyDescent="0.2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 s="1">
        <f t="shared" si="124"/>
        <v>1320.92</v>
      </c>
      <c r="H4007" s="1" t="str">
        <f>_xlfn.XLOOKUP(C4007,Product!A:A,Product!B:B,"not found",0)</f>
        <v>Heller Shagamaw Frame - 2016</v>
      </c>
      <c r="I4007" s="1">
        <f t="shared" si="125"/>
        <v>1320.92</v>
      </c>
    </row>
    <row r="4008" spans="1:9" x14ac:dyDescent="0.2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 s="1">
        <f t="shared" si="124"/>
        <v>9999.93</v>
      </c>
      <c r="H4008" s="1" t="str">
        <f>_xlfn.XLOOKUP(C4008,Product!A:A,Product!B:B,"not found",0)</f>
        <v>Trek Domane SL 7 Women's - 2018</v>
      </c>
      <c r="I4008" s="1">
        <f t="shared" si="125"/>
        <v>9999.93</v>
      </c>
    </row>
    <row r="4009" spans="1:9" x14ac:dyDescent="0.2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 s="1">
        <f t="shared" si="124"/>
        <v>919.94</v>
      </c>
      <c r="H4009" s="1" t="str">
        <f>_xlfn.XLOOKUP(C4009,Product!A:A,Product!B:B,"not found",0)</f>
        <v>Trek Stache Carbon Frameset - 2018</v>
      </c>
      <c r="I4009" s="1">
        <f t="shared" si="125"/>
        <v>919.94</v>
      </c>
    </row>
    <row r="4010" spans="1:9" x14ac:dyDescent="0.2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 s="1">
        <f t="shared" si="124"/>
        <v>1499.92</v>
      </c>
      <c r="H4010" s="1" t="str">
        <f>_xlfn.XLOOKUP(C4010,Product!A:A,Product!B:B,"not found",0)</f>
        <v>Trek Emonda S 4 - 2017</v>
      </c>
      <c r="I4010" s="1">
        <f t="shared" si="125"/>
        <v>1499.92</v>
      </c>
    </row>
    <row r="4011" spans="1:9" x14ac:dyDescent="0.2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 s="1">
        <f t="shared" si="124"/>
        <v>6999.91</v>
      </c>
      <c r="H4011" s="1" t="str">
        <f>_xlfn.XLOOKUP(C4011,Product!A:A,Product!B:B,"not found",0)</f>
        <v>Trek XM700+ Lowstep - 2018</v>
      </c>
      <c r="I4011" s="1">
        <f t="shared" si="125"/>
        <v>6999.91</v>
      </c>
    </row>
    <row r="4012" spans="1:9" x14ac:dyDescent="0.2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 s="1">
        <f t="shared" si="124"/>
        <v>699.91</v>
      </c>
      <c r="H4012" s="1" t="str">
        <f>_xlfn.XLOOKUP(C4012,Product!A:A,Product!B:B,"not found",0)</f>
        <v>Electra Moto 3i (20-inch) - Boy's - 2017</v>
      </c>
      <c r="I4012" s="1">
        <f t="shared" si="125"/>
        <v>699.91</v>
      </c>
    </row>
    <row r="4013" spans="1:9" x14ac:dyDescent="0.2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 s="1">
        <f t="shared" si="124"/>
        <v>6399.91</v>
      </c>
      <c r="H4013" s="1" t="str">
        <f>_xlfn.XLOOKUP(C4013,Product!A:A,Product!B:B,"not found",0)</f>
        <v>Trek Fuel EX 8 29 XT - 2018</v>
      </c>
      <c r="I4013" s="1">
        <f t="shared" si="125"/>
        <v>6399.91</v>
      </c>
    </row>
    <row r="4014" spans="1:9" x14ac:dyDescent="0.2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 s="1">
        <f t="shared" si="124"/>
        <v>1499.78</v>
      </c>
      <c r="H4014" s="1" t="str">
        <f>_xlfn.XLOOKUP(C4014,Product!A:A,Product!B:B,"not found",0)</f>
        <v>Ritchey Timberwolf Frameset - 2016</v>
      </c>
      <c r="I4014" s="1">
        <f t="shared" si="125"/>
        <v>1499.78</v>
      </c>
    </row>
    <row r="4015" spans="1:9" x14ac:dyDescent="0.2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 s="1">
        <f t="shared" si="124"/>
        <v>470.92</v>
      </c>
      <c r="H4015" s="1" t="str">
        <f>_xlfn.XLOOKUP(C4015,Product!A:A,Product!B:B,"not found",0)</f>
        <v>Sun Bicycles Drifter 7 - 2017</v>
      </c>
      <c r="I4015" s="1">
        <f t="shared" si="125"/>
        <v>470.92</v>
      </c>
    </row>
    <row r="4016" spans="1:9" x14ac:dyDescent="0.2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 s="1">
        <f t="shared" si="124"/>
        <v>1839.78</v>
      </c>
      <c r="H4016" s="1" t="str">
        <f>_xlfn.XLOOKUP(C4016,Product!A:A,Product!B:B,"not found",0)</f>
        <v>Trek X-Caliber 7 - 2018</v>
      </c>
      <c r="I4016" s="1">
        <f t="shared" si="125"/>
        <v>1839.78</v>
      </c>
    </row>
    <row r="4017" spans="1:9" x14ac:dyDescent="0.2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 s="1">
        <f t="shared" si="124"/>
        <v>529.89</v>
      </c>
      <c r="H4017" s="1" t="str">
        <f>_xlfn.XLOOKUP(C4017,Product!A:A,Product!B:B,"not found",0)</f>
        <v>Electra Moto 1 - 2016</v>
      </c>
      <c r="I4017" s="1">
        <f t="shared" si="125"/>
        <v>529.89</v>
      </c>
    </row>
    <row r="4018" spans="1:9" x14ac:dyDescent="0.2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 s="1">
        <f t="shared" si="124"/>
        <v>999.89</v>
      </c>
      <c r="H4018" s="1" t="str">
        <f>_xlfn.XLOOKUP(C4018,Product!A:A,Product!B:B,"not found",0)</f>
        <v>Trek X-Caliber 8 - 2018</v>
      </c>
      <c r="I4018" s="1">
        <f t="shared" si="125"/>
        <v>999.89</v>
      </c>
    </row>
    <row r="4019" spans="1:9" x14ac:dyDescent="0.2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 s="1">
        <f t="shared" si="124"/>
        <v>179.88</v>
      </c>
      <c r="H4019" s="1" t="str">
        <f>_xlfn.XLOOKUP(C4019,Product!A:A,Product!B:B,"not found",0)</f>
        <v>Strider Classic 12 Balance Bike - 2018</v>
      </c>
      <c r="I4019" s="1">
        <f t="shared" si="125"/>
        <v>179.88</v>
      </c>
    </row>
    <row r="4020" spans="1:9" x14ac:dyDescent="0.2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 s="1">
        <f t="shared" si="124"/>
        <v>1799.88</v>
      </c>
      <c r="H4020" s="1" t="str">
        <f>_xlfn.XLOOKUP(C4020,Product!A:A,Product!B:B,"not found",0)</f>
        <v>Electra Townie Balloon 7i EQ Ladies' - 2017/2018</v>
      </c>
      <c r="I4020" s="1">
        <f t="shared" si="125"/>
        <v>1799.88</v>
      </c>
    </row>
    <row r="4021" spans="1:9" x14ac:dyDescent="0.2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 s="1">
        <f t="shared" si="124"/>
        <v>859.91</v>
      </c>
      <c r="H4021" s="1" t="str">
        <f>_xlfn.XLOOKUP(C4021,Product!A:A,Product!B:B,"not found",0)</f>
        <v>Electra Cruiser Lux 1 - 2016/2018</v>
      </c>
      <c r="I4021" s="1">
        <f t="shared" si="125"/>
        <v>859.91</v>
      </c>
    </row>
    <row r="4022" spans="1:9" x14ac:dyDescent="0.2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 s="1">
        <f t="shared" si="124"/>
        <v>459.78000000000003</v>
      </c>
      <c r="H4022" s="1" t="str">
        <f>_xlfn.XLOOKUP(C4022,Product!A:A,Product!B:B,"not found",0)</f>
        <v>Trek Precaliber 20 Boy's - 2018</v>
      </c>
      <c r="I4022" s="1">
        <f t="shared" si="125"/>
        <v>459.78000000000003</v>
      </c>
    </row>
    <row r="4023" spans="1:9" x14ac:dyDescent="0.2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 s="1">
        <f t="shared" si="124"/>
        <v>1799.88</v>
      </c>
      <c r="H4023" s="1" t="str">
        <f>_xlfn.XLOOKUP(C4023,Product!A:A,Product!B:B,"not found",0)</f>
        <v>Electra Tiger Shark 3i - 2018</v>
      </c>
      <c r="I4023" s="1">
        <f t="shared" si="125"/>
        <v>1799.88</v>
      </c>
    </row>
    <row r="4024" spans="1:9" x14ac:dyDescent="0.2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 s="1">
        <f t="shared" si="124"/>
        <v>479.79</v>
      </c>
      <c r="H4024" s="1" t="str">
        <f>_xlfn.XLOOKUP(C4024,Product!A:A,Product!B:B,"not found",0)</f>
        <v>Electra Cruiser Lux 7D Ladies' - 2018</v>
      </c>
      <c r="I4024" s="1">
        <f t="shared" si="125"/>
        <v>479.79</v>
      </c>
    </row>
    <row r="4025" spans="1:9" x14ac:dyDescent="0.2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 s="1">
        <f t="shared" si="124"/>
        <v>2199.9299999999998</v>
      </c>
      <c r="H4025" s="1" t="str">
        <f>_xlfn.XLOOKUP(C4025,Product!A:A,Product!B:B,"not found",0)</f>
        <v>Electra Amsterdam Fashion 7i Ladies' - 2017</v>
      </c>
      <c r="I4025" s="1">
        <f t="shared" si="125"/>
        <v>2199.9299999999998</v>
      </c>
    </row>
    <row r="4026" spans="1:9" x14ac:dyDescent="0.2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 s="1">
        <f t="shared" si="124"/>
        <v>959.89</v>
      </c>
      <c r="H4026" s="1" t="str">
        <f>_xlfn.XLOOKUP(C4026,Product!A:A,Product!B:B,"not found",0)</f>
        <v>Electra Delivery 3i - 2016/2017/2018</v>
      </c>
      <c r="I4026" s="1">
        <f t="shared" si="125"/>
        <v>959.89</v>
      </c>
    </row>
    <row r="4027" spans="1:9" x14ac:dyDescent="0.2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 s="1">
        <f t="shared" si="124"/>
        <v>1499.92</v>
      </c>
      <c r="H4027" s="1" t="str">
        <f>_xlfn.XLOOKUP(C4027,Product!A:A,Product!B:B,"not found",0)</f>
        <v>Trek X-Caliber Frameset - 2018</v>
      </c>
      <c r="I4027" s="1">
        <f t="shared" si="125"/>
        <v>1499.92</v>
      </c>
    </row>
    <row r="4028" spans="1:9" x14ac:dyDescent="0.2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 s="1">
        <f t="shared" si="124"/>
        <v>749.79</v>
      </c>
      <c r="H4028" s="1" t="str">
        <f>_xlfn.XLOOKUP(C4028,Product!A:A,Product!B:B,"not found",0)</f>
        <v>Electra Townie Balloon 8D EQ - 2016/2017/2018</v>
      </c>
      <c r="I4028" s="1">
        <f t="shared" si="125"/>
        <v>749.79</v>
      </c>
    </row>
    <row r="4029" spans="1:9" x14ac:dyDescent="0.2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 s="1">
        <f t="shared" si="124"/>
        <v>6999.78</v>
      </c>
      <c r="H4029" s="1" t="str">
        <f>_xlfn.XLOOKUP(C4029,Product!A:A,Product!B:B,"not found",0)</f>
        <v>Trek XM700+ Lowstep - 2018</v>
      </c>
      <c r="I4029" s="1">
        <f t="shared" si="125"/>
        <v>6999.78</v>
      </c>
    </row>
    <row r="4030" spans="1:9" x14ac:dyDescent="0.2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 s="1">
        <f t="shared" si="124"/>
        <v>693.93000000000006</v>
      </c>
      <c r="H4030" s="1" t="str">
        <f>_xlfn.XLOOKUP(C4030,Product!A:A,Product!B:B,"not found",0)</f>
        <v>Sun Bicycles Lil Bolt Type-R - 2017</v>
      </c>
      <c r="I4030" s="1">
        <f t="shared" si="125"/>
        <v>693.93000000000006</v>
      </c>
    </row>
    <row r="4031" spans="1:9" x14ac:dyDescent="0.2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 s="1">
        <f t="shared" si="124"/>
        <v>469.92</v>
      </c>
      <c r="H4031" s="1" t="str">
        <f>_xlfn.XLOOKUP(C4031,Product!A:A,Product!B:B,"not found",0)</f>
        <v>Trek Farley Alloy Frameset - 2017</v>
      </c>
      <c r="I4031" s="1">
        <f t="shared" si="125"/>
        <v>469.92</v>
      </c>
    </row>
    <row r="4032" spans="1:9" x14ac:dyDescent="0.2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 s="1">
        <f t="shared" si="124"/>
        <v>6399.8799999999992</v>
      </c>
      <c r="H4032" s="1" t="str">
        <f>_xlfn.XLOOKUP(C4032,Product!A:A,Product!B:B,"not found",0)</f>
        <v>Trek Fuel EX 8 29 XT - 2018</v>
      </c>
      <c r="I4032" s="1">
        <f t="shared" si="125"/>
        <v>6399.8799999999992</v>
      </c>
    </row>
    <row r="4033" spans="1:9" x14ac:dyDescent="0.2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 s="1">
        <f t="shared" si="124"/>
        <v>209.89000000000001</v>
      </c>
      <c r="H4033" s="1" t="str">
        <f>_xlfn.XLOOKUP(C4033,Product!A:A,Product!B:B,"not found",0)</f>
        <v>Trek Precaliber 16 Boys - 2017</v>
      </c>
      <c r="I4033" s="1">
        <f t="shared" si="125"/>
        <v>209.89000000000001</v>
      </c>
    </row>
    <row r="4034" spans="1:9" x14ac:dyDescent="0.2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 s="1">
        <f t="shared" si="124"/>
        <v>349.94</v>
      </c>
      <c r="H4034" s="1" t="str">
        <f>_xlfn.XLOOKUP(C4034,Product!A:A,Product!B:B,"not found",0)</f>
        <v>Electra Savannah 3i (20-inch) - Girl's - 2017</v>
      </c>
      <c r="I4034" s="1">
        <f t="shared" si="125"/>
        <v>349.94</v>
      </c>
    </row>
    <row r="4035" spans="1:9" x14ac:dyDescent="0.2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 s="1">
        <f t="shared" ref="G4035:G4098" si="126">(E4035*D4035)-F4035</f>
        <v>1099.93</v>
      </c>
      <c r="H4035" s="1" t="str">
        <f>_xlfn.XLOOKUP(C4035,Product!A:A,Product!B:B,"not found",0)</f>
        <v>Electra Townie Original 21D - 2016</v>
      </c>
      <c r="I4035" s="1">
        <f t="shared" ref="I4035:I4098" si="127">(D4035*E4035)-F4035</f>
        <v>1099.93</v>
      </c>
    </row>
    <row r="4036" spans="1:9" x14ac:dyDescent="0.2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 s="1">
        <f t="shared" si="126"/>
        <v>1799.92</v>
      </c>
      <c r="H4036" s="1" t="str">
        <f>_xlfn.XLOOKUP(C4036,Product!A:A,Product!B:B,"not found",0)</f>
        <v>Trek Domane ALR 5 Disc - 2018</v>
      </c>
      <c r="I4036" s="1">
        <f t="shared" si="127"/>
        <v>1799.92</v>
      </c>
    </row>
    <row r="4037" spans="1:9" x14ac:dyDescent="0.2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 s="1">
        <f t="shared" si="126"/>
        <v>2999.88</v>
      </c>
      <c r="H4037" s="1" t="str">
        <f>_xlfn.XLOOKUP(C4037,Product!A:A,Product!B:B,"not found",0)</f>
        <v>Trek Stache 5 - 2017</v>
      </c>
      <c r="I4037" s="1">
        <f t="shared" si="127"/>
        <v>2999.88</v>
      </c>
    </row>
    <row r="4038" spans="1:9" x14ac:dyDescent="0.2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 s="1">
        <f t="shared" si="126"/>
        <v>1499.94</v>
      </c>
      <c r="H4038" s="1" t="str">
        <f>_xlfn.XLOOKUP(C4038,Product!A:A,Product!B:B,"not found",0)</f>
        <v>Trek X-Caliber Frameset - 2018</v>
      </c>
      <c r="I4038" s="1">
        <f t="shared" si="127"/>
        <v>1499.94</v>
      </c>
    </row>
    <row r="4039" spans="1:9" x14ac:dyDescent="0.2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 s="1">
        <f t="shared" si="126"/>
        <v>369.79</v>
      </c>
      <c r="H4039" s="1" t="str">
        <f>_xlfn.XLOOKUP(C4039,Product!A:A,Product!B:B,"not found",0)</f>
        <v>Electra Sweet Ride 3i (20-inch) - Girls' - 2018</v>
      </c>
      <c r="I4039" s="1">
        <f t="shared" si="127"/>
        <v>369.79</v>
      </c>
    </row>
    <row r="4040" spans="1:9" x14ac:dyDescent="0.2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 s="1">
        <f t="shared" si="126"/>
        <v>249.89000000000001</v>
      </c>
      <c r="H4040" s="1" t="str">
        <f>_xlfn.XLOOKUP(C4040,Product!A:A,Product!B:B,"not found",0)</f>
        <v>Trek MT 201 - 2018</v>
      </c>
      <c r="I4040" s="1">
        <f t="shared" si="127"/>
        <v>249.89000000000001</v>
      </c>
    </row>
    <row r="4041" spans="1:9" x14ac:dyDescent="0.2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 s="1">
        <f t="shared" si="126"/>
        <v>899.89</v>
      </c>
      <c r="H4041" s="1" t="str">
        <f>_xlfn.XLOOKUP(C4041,Product!A:A,Product!B:B,"not found",0)</f>
        <v>Electra Townie Balloon 7i EQ Ladies' - 2017/2018</v>
      </c>
      <c r="I4041" s="1">
        <f t="shared" si="127"/>
        <v>899.89</v>
      </c>
    </row>
    <row r="4042" spans="1:9" x14ac:dyDescent="0.2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 s="1">
        <f t="shared" si="126"/>
        <v>4499.92</v>
      </c>
      <c r="H4042" s="1" t="str">
        <f>_xlfn.XLOOKUP(C4042,Product!A:A,Product!B:B,"not found",0)</f>
        <v>Trek Emonda SL 7 - 2018</v>
      </c>
      <c r="I4042" s="1">
        <f t="shared" si="127"/>
        <v>4499.92</v>
      </c>
    </row>
    <row r="4043" spans="1:9" x14ac:dyDescent="0.2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 s="1">
        <f t="shared" si="126"/>
        <v>449.89</v>
      </c>
      <c r="H4043" s="1" t="str">
        <f>_xlfn.XLOOKUP(C4043,Product!A:A,Product!B:B,"not found",0)</f>
        <v>Sun Bicycles Cruz 3 - 2017</v>
      </c>
      <c r="I4043" s="1">
        <f t="shared" si="127"/>
        <v>449.89</v>
      </c>
    </row>
    <row r="4044" spans="1:9" x14ac:dyDescent="0.2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 s="1">
        <f t="shared" si="126"/>
        <v>2999.89</v>
      </c>
      <c r="H4044" s="1" t="str">
        <f>_xlfn.XLOOKUP(C4044,Product!A:A,Product!B:B,"not found",0)</f>
        <v>Electra Townie Commute Go! - 2018</v>
      </c>
      <c r="I4044" s="1">
        <f t="shared" si="127"/>
        <v>2999.89</v>
      </c>
    </row>
    <row r="4045" spans="1:9" x14ac:dyDescent="0.2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 s="1">
        <f t="shared" si="126"/>
        <v>659.88</v>
      </c>
      <c r="H4045" s="1" t="str">
        <f>_xlfn.XLOOKUP(C4045,Product!A:A,Product!B:B,"not found",0)</f>
        <v>Haro Downtown 16 - 2017</v>
      </c>
      <c r="I4045" s="1">
        <f t="shared" si="127"/>
        <v>659.88</v>
      </c>
    </row>
    <row r="4046" spans="1:9" x14ac:dyDescent="0.2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 s="1">
        <f t="shared" si="126"/>
        <v>6399.9299999999994</v>
      </c>
      <c r="H4046" s="1" t="str">
        <f>_xlfn.XLOOKUP(C4046,Product!A:A,Product!B:B,"not found",0)</f>
        <v>Trek Domane SL 6 - 2018</v>
      </c>
      <c r="I4046" s="1">
        <f t="shared" si="127"/>
        <v>6399.9299999999994</v>
      </c>
    </row>
    <row r="4047" spans="1:9" x14ac:dyDescent="0.2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 s="1">
        <f t="shared" si="126"/>
        <v>319.92</v>
      </c>
      <c r="H4047" s="1" t="str">
        <f>_xlfn.XLOOKUP(C4047,Product!A:A,Product!B:B,"not found",0)</f>
        <v>Electra Cruiser 7D (24-Inch) Ladies' - 2016/2018</v>
      </c>
      <c r="I4047" s="1">
        <f t="shared" si="127"/>
        <v>319.92</v>
      </c>
    </row>
    <row r="4048" spans="1:9" x14ac:dyDescent="0.2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 s="1">
        <f t="shared" si="126"/>
        <v>2939.93</v>
      </c>
      <c r="H4048" s="1" t="str">
        <f>_xlfn.XLOOKUP(C4048,Product!A:A,Product!B:B,"not found",0)</f>
        <v>Haro Shift R3 - 2017</v>
      </c>
      <c r="I4048" s="1">
        <f t="shared" si="127"/>
        <v>2939.93</v>
      </c>
    </row>
    <row r="4049" spans="1:9" x14ac:dyDescent="0.2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 s="1">
        <f t="shared" si="126"/>
        <v>1999.93</v>
      </c>
      <c r="H4049" s="1" t="str">
        <f>_xlfn.XLOOKUP(C4049,Product!A:A,Product!B:B,"not found",0)</f>
        <v>Surly Big Dummy Frameset - 2017</v>
      </c>
      <c r="I4049" s="1">
        <f t="shared" si="127"/>
        <v>1999.93</v>
      </c>
    </row>
    <row r="4050" spans="1:9" x14ac:dyDescent="0.2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 s="1">
        <f t="shared" si="126"/>
        <v>899.89</v>
      </c>
      <c r="H4050" s="1" t="str">
        <f>_xlfn.XLOOKUP(C4050,Product!A:A,Product!B:B,"not found",0)</f>
        <v>Electra Townie Balloon 7i EQ Ladies' - 2017/2018</v>
      </c>
      <c r="I4050" s="1">
        <f t="shared" si="127"/>
        <v>899.89</v>
      </c>
    </row>
    <row r="4051" spans="1:9" x14ac:dyDescent="0.2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 s="1">
        <f t="shared" si="126"/>
        <v>481.94</v>
      </c>
      <c r="H4051" s="1" t="str">
        <f>_xlfn.XLOOKUP(C4051,Product!A:A,Product!B:B,"not found",0)</f>
        <v>Sun Bicycles Streamway - 2017</v>
      </c>
      <c r="I4051" s="1">
        <f t="shared" si="127"/>
        <v>481.94</v>
      </c>
    </row>
    <row r="4052" spans="1:9" x14ac:dyDescent="0.2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 s="1">
        <f t="shared" si="126"/>
        <v>3599.88</v>
      </c>
      <c r="H4052" s="1" t="str">
        <f>_xlfn.XLOOKUP(C4052,Product!A:A,Product!B:B,"not found",0)</f>
        <v>Trek Domane ALR 5 Gravel - 2018</v>
      </c>
      <c r="I4052" s="1">
        <f t="shared" si="127"/>
        <v>3599.88</v>
      </c>
    </row>
    <row r="4053" spans="1:9" x14ac:dyDescent="0.2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 s="1">
        <f t="shared" si="126"/>
        <v>1059.9100000000001</v>
      </c>
      <c r="H4053" s="1" t="str">
        <f>_xlfn.XLOOKUP(C4053,Product!A:A,Product!B:B,"not found",0)</f>
        <v>Electra Cruiser Lux 3i - 2018</v>
      </c>
      <c r="I4053" s="1">
        <f t="shared" si="127"/>
        <v>1059.9100000000001</v>
      </c>
    </row>
    <row r="4054" spans="1:9" x14ac:dyDescent="0.2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 s="1">
        <f t="shared" si="126"/>
        <v>639.78</v>
      </c>
      <c r="H4054" s="1" t="str">
        <f>_xlfn.XLOOKUP(C4054,Product!A:A,Product!B:B,"not found",0)</f>
        <v>Electra Treasure 1 20" - 2018</v>
      </c>
      <c r="I4054" s="1">
        <f t="shared" si="127"/>
        <v>639.78</v>
      </c>
    </row>
    <row r="4055" spans="1:9" x14ac:dyDescent="0.2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 s="1">
        <f t="shared" si="126"/>
        <v>369.79</v>
      </c>
      <c r="H4055" s="1" t="str">
        <f>_xlfn.XLOOKUP(C4055,Product!A:A,Product!B:B,"not found",0)</f>
        <v>Trek Precaliber 24 21-speed Boy's - 2018</v>
      </c>
      <c r="I4055" s="1">
        <f t="shared" si="127"/>
        <v>369.79</v>
      </c>
    </row>
    <row r="4056" spans="1:9" x14ac:dyDescent="0.2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 s="1">
        <f t="shared" si="126"/>
        <v>379.78000000000003</v>
      </c>
      <c r="H4056" s="1" t="str">
        <f>_xlfn.XLOOKUP(C4056,Product!A:A,Product!B:B,"not found",0)</f>
        <v>Trek Precaliber 12 Boys - 2017</v>
      </c>
      <c r="I4056" s="1">
        <f t="shared" si="127"/>
        <v>379.78000000000003</v>
      </c>
    </row>
    <row r="4057" spans="1:9" x14ac:dyDescent="0.2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 s="1">
        <f t="shared" si="126"/>
        <v>1799.93</v>
      </c>
      <c r="H4057" s="1" t="str">
        <f>_xlfn.XLOOKUP(C4057,Product!A:A,Product!B:B,"not found",0)</f>
        <v>Electra Townie Commute 27D Ladies - 2018</v>
      </c>
      <c r="I4057" s="1">
        <f t="shared" si="127"/>
        <v>1799.93</v>
      </c>
    </row>
    <row r="4058" spans="1:9" x14ac:dyDescent="0.2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 s="1">
        <f t="shared" si="126"/>
        <v>209.92000000000002</v>
      </c>
      <c r="H4058" s="1" t="str">
        <f>_xlfn.XLOOKUP(C4058,Product!A:A,Product!B:B,"not found",0)</f>
        <v>Haro Shredder 20 - 2017</v>
      </c>
      <c r="I4058" s="1">
        <f t="shared" si="127"/>
        <v>209.92000000000002</v>
      </c>
    </row>
    <row r="4059" spans="1:9" x14ac:dyDescent="0.2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 s="1">
        <f t="shared" si="126"/>
        <v>659.92</v>
      </c>
      <c r="H4059" s="1" t="str">
        <f>_xlfn.XLOOKUP(C4059,Product!A:A,Product!B:B,"not found",0)</f>
        <v>Electra Amsterdam Original 3i Ladies' - 2017</v>
      </c>
      <c r="I4059" s="1">
        <f t="shared" si="127"/>
        <v>659.92</v>
      </c>
    </row>
    <row r="4060" spans="1:9" x14ac:dyDescent="0.2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 s="1">
        <f t="shared" si="126"/>
        <v>10599.93</v>
      </c>
      <c r="H4060" s="1" t="str">
        <f>_xlfn.XLOOKUP(C4060,Product!A:A,Product!B:B,"not found",0)</f>
        <v>Trek Remedy 9.8 - 2017</v>
      </c>
      <c r="I4060" s="1">
        <f t="shared" si="127"/>
        <v>10599.93</v>
      </c>
    </row>
    <row r="4061" spans="1:9" x14ac:dyDescent="0.2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 s="1">
        <f t="shared" si="126"/>
        <v>319.93</v>
      </c>
      <c r="H4061" s="1" t="str">
        <f>_xlfn.XLOOKUP(C4061,Product!A:A,Product!B:B,"not found",0)</f>
        <v>Trek Kickster - 2018</v>
      </c>
      <c r="I4061" s="1">
        <f t="shared" si="127"/>
        <v>319.93</v>
      </c>
    </row>
    <row r="4062" spans="1:9" x14ac:dyDescent="0.2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 s="1">
        <f t="shared" si="126"/>
        <v>4999.9299999999994</v>
      </c>
      <c r="H4062" s="1" t="str">
        <f>_xlfn.XLOOKUP(C4062,Product!A:A,Product!B:B,"not found",0)</f>
        <v>Trek 1120 - 2018</v>
      </c>
      <c r="I4062" s="1">
        <f t="shared" si="127"/>
        <v>4999.9299999999994</v>
      </c>
    </row>
    <row r="4063" spans="1:9" x14ac:dyDescent="0.2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 s="1">
        <f t="shared" si="126"/>
        <v>3599.79</v>
      </c>
      <c r="H4063" s="1" t="str">
        <f>_xlfn.XLOOKUP(C4063,Product!A:A,Product!B:B,"not found",0)</f>
        <v>Trek Super Commuter+ 7 - 2018</v>
      </c>
      <c r="I4063" s="1">
        <f t="shared" si="127"/>
        <v>3599.79</v>
      </c>
    </row>
    <row r="4064" spans="1:9" x14ac:dyDescent="0.2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 s="1">
        <f t="shared" si="126"/>
        <v>2999.88</v>
      </c>
      <c r="H4064" s="1" t="str">
        <f>_xlfn.XLOOKUP(C4064,Product!A:A,Product!B:B,"not found",0)</f>
        <v>Trek Emonda S 4 - 2017</v>
      </c>
      <c r="I4064" s="1">
        <f t="shared" si="127"/>
        <v>2999.88</v>
      </c>
    </row>
    <row r="4065" spans="1:9" x14ac:dyDescent="0.2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 s="1">
        <f t="shared" si="126"/>
        <v>1839.78</v>
      </c>
      <c r="H4065" s="1" t="str">
        <f>_xlfn.XLOOKUP(C4065,Product!A:A,Product!B:B,"not found",0)</f>
        <v>Trek Domane AL 3 Women's - 2018</v>
      </c>
      <c r="I4065" s="1">
        <f t="shared" si="127"/>
        <v>1839.78</v>
      </c>
    </row>
    <row r="4066" spans="1:9" x14ac:dyDescent="0.2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 s="1">
        <f t="shared" si="126"/>
        <v>679.89</v>
      </c>
      <c r="H4066" s="1" t="str">
        <f>_xlfn.XLOOKUP(C4066,Product!A:A,Product!B:B,"not found",0)</f>
        <v>Electra Townie Original 21D EQ - 2017/2018</v>
      </c>
      <c r="I4066" s="1">
        <f t="shared" si="127"/>
        <v>679.89</v>
      </c>
    </row>
    <row r="4067" spans="1:9" x14ac:dyDescent="0.2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 s="1">
        <f t="shared" si="126"/>
        <v>1999.94</v>
      </c>
      <c r="H4067" s="1" t="str">
        <f>_xlfn.XLOOKUP(C4067,Product!A:A,Product!B:B,"not found",0)</f>
        <v>Trek Emonda S 5 - 2017</v>
      </c>
      <c r="I4067" s="1">
        <f t="shared" si="127"/>
        <v>1999.94</v>
      </c>
    </row>
    <row r="4068" spans="1:9" x14ac:dyDescent="0.2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 s="1">
        <f t="shared" si="126"/>
        <v>2199.79</v>
      </c>
      <c r="H4068" s="1" t="str">
        <f>_xlfn.XLOOKUP(C4068,Product!A:A,Product!B:B,"not found",0)</f>
        <v>Trek Domane SL 5 - 2018</v>
      </c>
      <c r="I4068" s="1">
        <f t="shared" si="127"/>
        <v>2199.79</v>
      </c>
    </row>
    <row r="4069" spans="1:9" x14ac:dyDescent="0.2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 s="1">
        <f t="shared" si="126"/>
        <v>939.88</v>
      </c>
      <c r="H4069" s="1" t="str">
        <f>_xlfn.XLOOKUP(C4069,Product!A:A,Product!B:B,"not found",0)</f>
        <v>Surly Pack Rat Frameset - 2018</v>
      </c>
      <c r="I4069" s="1">
        <f t="shared" si="127"/>
        <v>939.88</v>
      </c>
    </row>
    <row r="4070" spans="1:9" x14ac:dyDescent="0.2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 s="1">
        <f t="shared" si="126"/>
        <v>2999.9199999999996</v>
      </c>
      <c r="H4070" s="1" t="str">
        <f>_xlfn.XLOOKUP(C4070,Product!A:A,Product!B:B,"not found",0)</f>
        <v>Trek Remedy 7 27.5 - 2018</v>
      </c>
      <c r="I4070" s="1">
        <f t="shared" si="127"/>
        <v>2999.9199999999996</v>
      </c>
    </row>
    <row r="4071" spans="1:9" x14ac:dyDescent="0.2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 s="1">
        <f t="shared" si="126"/>
        <v>3999.9399999999996</v>
      </c>
      <c r="H4071" s="1" t="str">
        <f>_xlfn.XLOOKUP(C4071,Product!A:A,Product!B:B,"not found",0)</f>
        <v>Trek Slash 8 27.5 - 2016</v>
      </c>
      <c r="I4071" s="1">
        <f t="shared" si="127"/>
        <v>3999.9399999999996</v>
      </c>
    </row>
    <row r="4072" spans="1:9" x14ac:dyDescent="0.2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 s="1">
        <f t="shared" si="126"/>
        <v>749.94</v>
      </c>
      <c r="H4072" s="1" t="str">
        <f>_xlfn.XLOOKUP(C4072,Product!A:A,Product!B:B,"not found",0)</f>
        <v>Electra White Water 3i - 2018</v>
      </c>
      <c r="I4072" s="1">
        <f t="shared" si="127"/>
        <v>749.94</v>
      </c>
    </row>
    <row r="4073" spans="1:9" x14ac:dyDescent="0.2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 s="1">
        <f t="shared" si="126"/>
        <v>1295.8800000000001</v>
      </c>
      <c r="H4073" s="1" t="str">
        <f>_xlfn.XLOOKUP(C4073,Product!A:A,Product!B:B,"not found",0)</f>
        <v>Sun Bicycles Biscayne Tandem CB - 2017</v>
      </c>
      <c r="I4073" s="1">
        <f t="shared" si="127"/>
        <v>1295.8800000000001</v>
      </c>
    </row>
    <row r="4074" spans="1:9" x14ac:dyDescent="0.2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 s="1">
        <f t="shared" si="126"/>
        <v>833.93000000000006</v>
      </c>
      <c r="H4074" s="1" t="str">
        <f>_xlfn.XLOOKUP(C4074,Product!A:A,Product!B:B,"not found",0)</f>
        <v>Sun Bicycles Cruz 7 - 2017</v>
      </c>
      <c r="I4074" s="1">
        <f t="shared" si="127"/>
        <v>833.93000000000006</v>
      </c>
    </row>
    <row r="4075" spans="1:9" x14ac:dyDescent="0.2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 s="1">
        <f t="shared" si="126"/>
        <v>749.79</v>
      </c>
      <c r="H4075" s="1" t="str">
        <f>_xlfn.XLOOKUP(C4075,Product!A:A,Product!B:B,"not found",0)</f>
        <v>Surly Ogre Frameset - 2017</v>
      </c>
      <c r="I4075" s="1">
        <f t="shared" si="127"/>
        <v>749.79</v>
      </c>
    </row>
    <row r="4076" spans="1:9" x14ac:dyDescent="0.2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 s="1">
        <f t="shared" si="126"/>
        <v>3097.8</v>
      </c>
      <c r="H4076" s="1" t="str">
        <f>_xlfn.XLOOKUP(C4076,Product!A:A,Product!B:B,"not found",0)</f>
        <v>Surly Straggler - 2018</v>
      </c>
      <c r="I4076" s="1">
        <f t="shared" si="127"/>
        <v>3097.8</v>
      </c>
    </row>
    <row r="4077" spans="1:9" x14ac:dyDescent="0.2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 s="1">
        <f t="shared" si="126"/>
        <v>479.94</v>
      </c>
      <c r="H4077" s="1" t="str">
        <f>_xlfn.XLOOKUP(C4077,Product!A:A,Product!B:B,"not found",0)</f>
        <v>Electra Cruiser Lux 7D - 2018</v>
      </c>
      <c r="I4077" s="1">
        <f t="shared" si="127"/>
        <v>479.94</v>
      </c>
    </row>
    <row r="4078" spans="1:9" x14ac:dyDescent="0.2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 s="1">
        <f t="shared" si="126"/>
        <v>939.91</v>
      </c>
      <c r="H4078" s="1" t="str">
        <f>_xlfn.XLOOKUP(C4078,Product!A:A,Product!B:B,"not found",0)</f>
        <v>Surly Pack Rat Frameset - 2018</v>
      </c>
      <c r="I4078" s="1">
        <f t="shared" si="127"/>
        <v>939.91</v>
      </c>
    </row>
    <row r="4079" spans="1:9" x14ac:dyDescent="0.2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 s="1">
        <f t="shared" si="126"/>
        <v>2499.9399999999996</v>
      </c>
      <c r="H4079" s="1" t="str">
        <f>_xlfn.XLOOKUP(C4079,Product!A:A,Product!B:B,"not found",0)</f>
        <v>Surly Karate Monkey 27.5+ Frameset - 2017</v>
      </c>
      <c r="I4079" s="1">
        <f t="shared" si="127"/>
        <v>2499.9399999999996</v>
      </c>
    </row>
    <row r="4080" spans="1:9" x14ac:dyDescent="0.2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 s="1">
        <f t="shared" si="126"/>
        <v>1099.78</v>
      </c>
      <c r="H4080" s="1" t="str">
        <f>_xlfn.XLOOKUP(C4080,Product!A:A,Product!B:B,"not found",0)</f>
        <v>Electra Townie Original 21D - 2016</v>
      </c>
      <c r="I4080" s="1">
        <f t="shared" si="127"/>
        <v>1099.78</v>
      </c>
    </row>
    <row r="4081" spans="1:9" x14ac:dyDescent="0.2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 s="1">
        <f t="shared" si="126"/>
        <v>1819.78</v>
      </c>
      <c r="H4081" s="1" t="str">
        <f>_xlfn.XLOOKUP(C4081,Product!A:A,Product!B:B,"not found",0)</f>
        <v>Electra Straight 8 3i - 2018</v>
      </c>
      <c r="I4081" s="1">
        <f t="shared" si="127"/>
        <v>1819.78</v>
      </c>
    </row>
    <row r="4082" spans="1:9" x14ac:dyDescent="0.2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 s="1">
        <f t="shared" si="126"/>
        <v>229.89000000000001</v>
      </c>
      <c r="H4082" s="1" t="str">
        <f>_xlfn.XLOOKUP(C4082,Product!A:A,Product!B:B,"not found",0)</f>
        <v>Trek Precaliber 20 Girl's - 2018</v>
      </c>
      <c r="I4082" s="1">
        <f t="shared" si="127"/>
        <v>229.89000000000001</v>
      </c>
    </row>
    <row r="4083" spans="1:9" x14ac:dyDescent="0.2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 s="1">
        <f t="shared" si="126"/>
        <v>209.92000000000002</v>
      </c>
      <c r="H4083" s="1" t="str">
        <f>_xlfn.XLOOKUP(C4083,Product!A:A,Product!B:B,"not found",0)</f>
        <v>Trek Precaliber 16 Girls - 2017</v>
      </c>
      <c r="I4083" s="1">
        <f t="shared" si="127"/>
        <v>209.92000000000002</v>
      </c>
    </row>
    <row r="4084" spans="1:9" x14ac:dyDescent="0.2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 s="1">
        <f t="shared" si="126"/>
        <v>379.92</v>
      </c>
      <c r="H4084" s="1" t="str">
        <f>_xlfn.XLOOKUP(C4084,Product!A:A,Product!B:B,"not found",0)</f>
        <v>Trek 820 - 2018</v>
      </c>
      <c r="I4084" s="1">
        <f t="shared" si="127"/>
        <v>379.92</v>
      </c>
    </row>
    <row r="4085" spans="1:9" x14ac:dyDescent="0.2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 s="1">
        <f t="shared" si="126"/>
        <v>429.94</v>
      </c>
      <c r="H4085" s="1" t="str">
        <f>_xlfn.XLOOKUP(C4085,Product!A:A,Product!B:B,"not found",0)</f>
        <v>Electra Cruiser Lux 1 Ladies' - 2018</v>
      </c>
      <c r="I4085" s="1">
        <f t="shared" si="127"/>
        <v>429.94</v>
      </c>
    </row>
    <row r="4086" spans="1:9" x14ac:dyDescent="0.2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 s="1">
        <f t="shared" si="126"/>
        <v>1499.78</v>
      </c>
      <c r="H4086" s="1" t="str">
        <f>_xlfn.XLOOKUP(C4086,Product!A:A,Product!B:B,"not found",0)</f>
        <v>Electra Townie Balloon 3i EQ - 2017/2018</v>
      </c>
      <c r="I4086" s="1">
        <f t="shared" si="127"/>
        <v>1499.78</v>
      </c>
    </row>
    <row r="4087" spans="1:9" x14ac:dyDescent="0.2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 s="1">
        <f t="shared" si="126"/>
        <v>5599.78</v>
      </c>
      <c r="H4087" s="1" t="str">
        <f>_xlfn.XLOOKUP(C4087,Product!A:A,Product!B:B,"not found",0)</f>
        <v>Trek Lift+ Lowstep - 2018</v>
      </c>
      <c r="I4087" s="1">
        <f t="shared" si="127"/>
        <v>5599.78</v>
      </c>
    </row>
    <row r="4088" spans="1:9" x14ac:dyDescent="0.2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 s="1">
        <f t="shared" si="126"/>
        <v>4999.9299999999994</v>
      </c>
      <c r="H4088" s="1" t="str">
        <f>_xlfn.XLOOKUP(C4088,Product!A:A,Product!B:B,"not found",0)</f>
        <v>Surly Karate Monkey 27.5+ Frameset - 2017</v>
      </c>
      <c r="I4088" s="1">
        <f t="shared" si="127"/>
        <v>4999.9299999999994</v>
      </c>
    </row>
    <row r="4089" spans="1:9" x14ac:dyDescent="0.2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 s="1">
        <f t="shared" si="126"/>
        <v>4999.9399999999996</v>
      </c>
      <c r="H4089" s="1" t="str">
        <f>_xlfn.XLOOKUP(C4089,Product!A:A,Product!B:B,"not found",0)</f>
        <v>Trek Powerfly 7 FS - 2018</v>
      </c>
      <c r="I4089" s="1">
        <f t="shared" si="127"/>
        <v>4999.9399999999996</v>
      </c>
    </row>
    <row r="4090" spans="1:9" x14ac:dyDescent="0.2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 s="1">
        <f t="shared" si="126"/>
        <v>289.92</v>
      </c>
      <c r="H4090" s="1" t="str">
        <f>_xlfn.XLOOKUP(C4090,Product!A:A,Product!B:B,"not found",0)</f>
        <v>Trek Precaliber 20 6-speed Girl's - 2018</v>
      </c>
      <c r="I4090" s="1">
        <f t="shared" si="127"/>
        <v>289.92</v>
      </c>
    </row>
    <row r="4091" spans="1:9" x14ac:dyDescent="0.2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 s="1">
        <f t="shared" si="126"/>
        <v>419.88</v>
      </c>
      <c r="H4091" s="1" t="str">
        <f>_xlfn.XLOOKUP(C4091,Product!A:A,Product!B:B,"not found",0)</f>
        <v>Haro Shredder 20 Girls - 2017</v>
      </c>
      <c r="I4091" s="1">
        <f t="shared" si="127"/>
        <v>419.88</v>
      </c>
    </row>
    <row r="4092" spans="1:9" x14ac:dyDescent="0.2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 s="1">
        <f t="shared" si="126"/>
        <v>759.93000000000006</v>
      </c>
      <c r="H4092" s="1" t="str">
        <f>_xlfn.XLOOKUP(C4092,Product!A:A,Product!B:B,"not found",0)</f>
        <v>Trek 820 - 2018</v>
      </c>
      <c r="I4092" s="1">
        <f t="shared" si="127"/>
        <v>759.93000000000006</v>
      </c>
    </row>
    <row r="4093" spans="1:9" x14ac:dyDescent="0.2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 s="1">
        <f t="shared" si="126"/>
        <v>269.89</v>
      </c>
      <c r="H4093" s="1" t="str">
        <f>_xlfn.XLOOKUP(C4093,Product!A:A,Product!B:B,"not found",0)</f>
        <v>Electra Cruiser 1 Ladies' - 2018</v>
      </c>
      <c r="I4093" s="1">
        <f t="shared" si="127"/>
        <v>269.89</v>
      </c>
    </row>
    <row r="4094" spans="1:9" x14ac:dyDescent="0.2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 s="1">
        <f t="shared" si="126"/>
        <v>5599.78</v>
      </c>
      <c r="H4094" s="1" t="str">
        <f>_xlfn.XLOOKUP(C4094,Product!A:A,Product!B:B,"not found",0)</f>
        <v>Trek Lift+ - 2018</v>
      </c>
      <c r="I4094" s="1">
        <f t="shared" si="127"/>
        <v>5599.78</v>
      </c>
    </row>
    <row r="4095" spans="1:9" x14ac:dyDescent="0.2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 s="1">
        <f t="shared" si="126"/>
        <v>5999.8799999999992</v>
      </c>
      <c r="H4095" s="1" t="str">
        <f>_xlfn.XLOOKUP(C4095,Product!A:A,Product!B:B,"not found",0)</f>
        <v>Trek Emonda SL 6 Disc - 2018</v>
      </c>
      <c r="I4095" s="1">
        <f t="shared" si="127"/>
        <v>5999.8799999999992</v>
      </c>
    </row>
    <row r="4096" spans="1:9" x14ac:dyDescent="0.2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 s="1">
        <f t="shared" si="126"/>
        <v>859.93000000000006</v>
      </c>
      <c r="H4096" s="1" t="str">
        <f>_xlfn.XLOOKUP(C4096,Product!A:A,Product!B:B,"not found",0)</f>
        <v>Electra Cruiser Lux 1 Ladies' - 2018</v>
      </c>
      <c r="I4096" s="1">
        <f t="shared" si="127"/>
        <v>859.93000000000006</v>
      </c>
    </row>
    <row r="4097" spans="1:9" x14ac:dyDescent="0.2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 s="1">
        <f t="shared" si="126"/>
        <v>489.89</v>
      </c>
      <c r="H4097" s="1" t="str">
        <f>_xlfn.XLOOKUP(C4097,Product!A:A,Product!B:B,"not found",0)</f>
        <v>Trek Marlin 5 - 2018</v>
      </c>
      <c r="I4097" s="1">
        <f t="shared" si="127"/>
        <v>489.89</v>
      </c>
    </row>
    <row r="4098" spans="1:9" x14ac:dyDescent="0.2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 s="1">
        <f t="shared" si="126"/>
        <v>799.94</v>
      </c>
      <c r="H4098" s="1" t="str">
        <f>_xlfn.XLOOKUP(C4098,Product!A:A,Product!B:B,"not found",0)</f>
        <v>Electra Townie Balloon 3i EQ Ladies' - 2018</v>
      </c>
      <c r="I4098" s="1">
        <f t="shared" si="127"/>
        <v>799.94</v>
      </c>
    </row>
    <row r="4099" spans="1:9" x14ac:dyDescent="0.2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 s="1">
        <f t="shared" ref="G4099:G4162" si="128">(E4099*D4099)-F4099</f>
        <v>1665.88</v>
      </c>
      <c r="H4099" s="1" t="str">
        <f>_xlfn.XLOOKUP(C4099,Product!A:A,Product!B:B,"not found",0)</f>
        <v>Surly Troll Frameset - 2017</v>
      </c>
      <c r="I4099" s="1">
        <f t="shared" ref="I4099:I4162" si="129">(D4099*E4099)-F4099</f>
        <v>1665.88</v>
      </c>
    </row>
    <row r="4100" spans="1:9" x14ac:dyDescent="0.2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 s="1">
        <f t="shared" si="128"/>
        <v>399.89</v>
      </c>
      <c r="H4100" s="1" t="str">
        <f>_xlfn.XLOOKUP(C4100,Product!A:A,Product!B:B,"not found",0)</f>
        <v>Trek Superfly 20 - 2018</v>
      </c>
      <c r="I4100" s="1">
        <f t="shared" si="129"/>
        <v>399.89</v>
      </c>
    </row>
    <row r="4101" spans="1:9" x14ac:dyDescent="0.2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 s="1">
        <f t="shared" si="128"/>
        <v>832.79</v>
      </c>
      <c r="H4101" s="1" t="str">
        <f>_xlfn.XLOOKUP(C4101,Product!A:A,Product!B:B,"not found",0)</f>
        <v>Sun Bicycles Spider 3i - 2017</v>
      </c>
      <c r="I4101" s="1">
        <f t="shared" si="129"/>
        <v>832.79</v>
      </c>
    </row>
    <row r="4102" spans="1:9" x14ac:dyDescent="0.2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 s="1">
        <f t="shared" si="128"/>
        <v>599.78</v>
      </c>
      <c r="H4102" s="1" t="str">
        <f>_xlfn.XLOOKUP(C4102,Product!A:A,Product!B:B,"not found",0)</f>
        <v>Electra Girl's Hawaii 1 (20-inch) - 2015/2016</v>
      </c>
      <c r="I4102" s="1">
        <f t="shared" si="129"/>
        <v>599.78</v>
      </c>
    </row>
    <row r="4103" spans="1:9" x14ac:dyDescent="0.2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 s="1">
        <f t="shared" si="128"/>
        <v>749.79</v>
      </c>
      <c r="H4103" s="1" t="str">
        <f>_xlfn.XLOOKUP(C4103,Product!A:A,Product!B:B,"not found",0)</f>
        <v>Trek Domane AL 2 Women's - 2018</v>
      </c>
      <c r="I4103" s="1">
        <f t="shared" si="129"/>
        <v>749.79</v>
      </c>
    </row>
    <row r="4104" spans="1:9" x14ac:dyDescent="0.2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 s="1">
        <f t="shared" si="128"/>
        <v>579.91999999999996</v>
      </c>
      <c r="H4104" s="1" t="str">
        <f>_xlfn.XLOOKUP(C4104,Product!A:A,Product!B:B,"not found",0)</f>
        <v>Trek Marlin 6 - 2018</v>
      </c>
      <c r="I4104" s="1">
        <f t="shared" si="129"/>
        <v>579.91999999999996</v>
      </c>
    </row>
    <row r="4105" spans="1:9" x14ac:dyDescent="0.2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 s="1">
        <f t="shared" si="128"/>
        <v>5197.8</v>
      </c>
      <c r="H4105" s="1" t="str">
        <f>_xlfn.XLOOKUP(C4105,Product!A:A,Product!B:B,"not found",0)</f>
        <v>Heller Shagamaw GX1 - 2018</v>
      </c>
      <c r="I4105" s="1">
        <f t="shared" si="129"/>
        <v>5197.8</v>
      </c>
    </row>
    <row r="4106" spans="1:9" x14ac:dyDescent="0.2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 s="1">
        <f t="shared" si="128"/>
        <v>1799.91</v>
      </c>
      <c r="H4106" s="1" t="str">
        <f>_xlfn.XLOOKUP(C4106,Product!A:A,Product!B:B,"not found",0)</f>
        <v>Electra Townie Balloon 7i EQ - 2018</v>
      </c>
      <c r="I4106" s="1">
        <f t="shared" si="129"/>
        <v>1799.91</v>
      </c>
    </row>
    <row r="4107" spans="1:9" x14ac:dyDescent="0.2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 s="1">
        <f t="shared" si="128"/>
        <v>1299.92</v>
      </c>
      <c r="H4107" s="1" t="str">
        <f>_xlfn.XLOOKUP(C4107,Product!A:A,Product!B:B,"not found",0)</f>
        <v>Trek CrossRip 2 - 2018</v>
      </c>
      <c r="I4107" s="1">
        <f t="shared" si="129"/>
        <v>1299.92</v>
      </c>
    </row>
    <row r="4108" spans="1:9" x14ac:dyDescent="0.2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 s="1">
        <f t="shared" si="128"/>
        <v>6399.9299999999994</v>
      </c>
      <c r="H4108" s="1" t="str">
        <f>_xlfn.XLOOKUP(C4108,Product!A:A,Product!B:B,"not found",0)</f>
        <v>Trek Domane SL 6 - 2018</v>
      </c>
      <c r="I4108" s="1">
        <f t="shared" si="129"/>
        <v>6399.9299999999994</v>
      </c>
    </row>
    <row r="4109" spans="1:9" x14ac:dyDescent="0.2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 s="1">
        <f t="shared" si="128"/>
        <v>289.94</v>
      </c>
      <c r="H4109" s="1" t="str">
        <f>_xlfn.XLOOKUP(C4109,Product!A:A,Product!B:B,"not found",0)</f>
        <v>Strider Strider 20 Sport - 2018</v>
      </c>
      <c r="I4109" s="1">
        <f t="shared" si="129"/>
        <v>289.94</v>
      </c>
    </row>
    <row r="4110" spans="1:9" x14ac:dyDescent="0.2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 s="1">
        <f t="shared" si="128"/>
        <v>269.89</v>
      </c>
      <c r="H4110" s="1" t="str">
        <f>_xlfn.XLOOKUP(C4110,Product!A:A,Product!B:B,"not found",0)</f>
        <v>Electra Cruiser 1 Tall - 2016/2018</v>
      </c>
      <c r="I4110" s="1">
        <f t="shared" si="129"/>
        <v>269.89</v>
      </c>
    </row>
    <row r="4111" spans="1:9" x14ac:dyDescent="0.2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 s="1">
        <f t="shared" si="128"/>
        <v>9999.8799999999992</v>
      </c>
      <c r="H4111" s="1" t="str">
        <f>_xlfn.XLOOKUP(C4111,Product!A:A,Product!B:B,"not found",0)</f>
        <v>Trek Super Commuter+ 8S - 2018</v>
      </c>
      <c r="I4111" s="1">
        <f t="shared" si="129"/>
        <v>9999.8799999999992</v>
      </c>
    </row>
    <row r="4112" spans="1:9" x14ac:dyDescent="0.2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 s="1">
        <f t="shared" si="128"/>
        <v>9999.7799999999988</v>
      </c>
      <c r="H4112" s="1" t="str">
        <f>_xlfn.XLOOKUP(C4112,Product!A:A,Product!B:B,"not found",0)</f>
        <v>Trek Powerfly 7 FS - 2018</v>
      </c>
      <c r="I4112" s="1">
        <f t="shared" si="129"/>
        <v>9999.7799999999988</v>
      </c>
    </row>
    <row r="4113" spans="1:9" x14ac:dyDescent="0.2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 s="1">
        <f t="shared" si="128"/>
        <v>679.89</v>
      </c>
      <c r="H4113" s="1" t="str">
        <f>_xlfn.XLOOKUP(C4113,Product!A:A,Product!B:B,"not found",0)</f>
        <v>Electra Townie Original 21D EQ - 2017/2018</v>
      </c>
      <c r="I4113" s="1">
        <f t="shared" si="129"/>
        <v>679.89</v>
      </c>
    </row>
    <row r="4114" spans="1:9" x14ac:dyDescent="0.2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 s="1">
        <f t="shared" si="128"/>
        <v>2999.89</v>
      </c>
      <c r="H4114" s="1" t="str">
        <f>_xlfn.XLOOKUP(C4114,Product!A:A,Product!B:B,"not found",0)</f>
        <v>Trek Conduit+ - 2016</v>
      </c>
      <c r="I4114" s="1">
        <f t="shared" si="129"/>
        <v>2999.89</v>
      </c>
    </row>
    <row r="4115" spans="1:9" x14ac:dyDescent="0.2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 s="1">
        <f t="shared" si="128"/>
        <v>1499.78</v>
      </c>
      <c r="H4115" s="1" t="str">
        <f>_xlfn.XLOOKUP(C4115,Product!A:A,Product!B:B,"not found",0)</f>
        <v>Electra Townie Balloon 8D EQ Ladies' - 2016/2017/2018</v>
      </c>
      <c r="I4115" s="1">
        <f t="shared" si="129"/>
        <v>1499.78</v>
      </c>
    </row>
    <row r="4116" spans="1:9" x14ac:dyDescent="0.2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 s="1">
        <f t="shared" si="128"/>
        <v>1839.91</v>
      </c>
      <c r="H4116" s="1" t="str">
        <f>_xlfn.XLOOKUP(C4116,Product!A:A,Product!B:B,"not found",0)</f>
        <v>Trek Domane AL 3 Women's - 2018</v>
      </c>
      <c r="I4116" s="1">
        <f t="shared" si="129"/>
        <v>1839.91</v>
      </c>
    </row>
    <row r="4117" spans="1:9" x14ac:dyDescent="0.2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 s="1">
        <f t="shared" si="128"/>
        <v>5299.8899999999994</v>
      </c>
      <c r="H4117" s="1" t="str">
        <f>_xlfn.XLOOKUP(C4117,Product!A:A,Product!B:B,"not found",0)</f>
        <v>Trek Fuel EX 9.8 27.5 Plus - 2017</v>
      </c>
      <c r="I4117" s="1">
        <f t="shared" si="129"/>
        <v>5299.8899999999994</v>
      </c>
    </row>
    <row r="4118" spans="1:9" x14ac:dyDescent="0.2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 s="1">
        <f t="shared" si="128"/>
        <v>833.91</v>
      </c>
      <c r="H4118" s="1" t="str">
        <f>_xlfn.XLOOKUP(C4118,Product!A:A,Product!B:B,"not found",0)</f>
        <v>Sun Bicycles Cruz 7 - Women's - 2017</v>
      </c>
      <c r="I4118" s="1">
        <f t="shared" si="129"/>
        <v>833.91</v>
      </c>
    </row>
    <row r="4119" spans="1:9" x14ac:dyDescent="0.2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 s="1">
        <f t="shared" si="128"/>
        <v>559.93000000000006</v>
      </c>
      <c r="H4119" s="1" t="str">
        <f>_xlfn.XLOOKUP(C4119,Product!A:A,Product!B:B,"not found",0)</f>
        <v>Electra Under-The-Sea 1 16" - 2018</v>
      </c>
      <c r="I4119" s="1">
        <f t="shared" si="129"/>
        <v>559.93000000000006</v>
      </c>
    </row>
    <row r="4120" spans="1:9" x14ac:dyDescent="0.2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 s="1">
        <f t="shared" si="128"/>
        <v>5999.8799999999992</v>
      </c>
      <c r="H4120" s="1" t="str">
        <f>_xlfn.XLOOKUP(C4120,Product!A:A,Product!B:B,"not found",0)</f>
        <v>Trek Emonda SL 6 Disc - 2018</v>
      </c>
      <c r="I4120" s="1">
        <f t="shared" si="129"/>
        <v>5999.8799999999992</v>
      </c>
    </row>
    <row r="4121" spans="1:9" x14ac:dyDescent="0.2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 s="1">
        <f t="shared" si="128"/>
        <v>739.93000000000006</v>
      </c>
      <c r="H4121" s="1" t="str">
        <f>_xlfn.XLOOKUP(C4121,Product!A:A,Product!B:B,"not found",0)</f>
        <v>Electra Sweet Ride 3i (20-inch) - Girls' - 2018</v>
      </c>
      <c r="I4121" s="1">
        <f t="shared" si="129"/>
        <v>739.93000000000006</v>
      </c>
    </row>
    <row r="4122" spans="1:9" x14ac:dyDescent="0.2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 s="1">
        <f t="shared" si="128"/>
        <v>3265.91</v>
      </c>
      <c r="H4122" s="1" t="str">
        <f>_xlfn.XLOOKUP(C4122,Product!A:A,Product!B:B,"not found",0)</f>
        <v>Surly Wednesday - 2017</v>
      </c>
      <c r="I4122" s="1">
        <f t="shared" si="129"/>
        <v>3265.91</v>
      </c>
    </row>
    <row r="4123" spans="1:9" x14ac:dyDescent="0.2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 s="1">
        <f t="shared" si="128"/>
        <v>428.95</v>
      </c>
      <c r="H4123" s="1" t="str">
        <f>_xlfn.XLOOKUP(C4123,Product!A:A,Product!B:B,"not found",0)</f>
        <v>Pure Cycles Vine 8-Speed - 2016</v>
      </c>
      <c r="I4123" s="1">
        <f t="shared" si="129"/>
        <v>428.95</v>
      </c>
    </row>
    <row r="4124" spans="1:9" x14ac:dyDescent="0.2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 s="1">
        <f t="shared" si="128"/>
        <v>499.88</v>
      </c>
      <c r="H4124" s="1" t="str">
        <f>_xlfn.XLOOKUP(C4124,Product!A:A,Product!B:B,"not found",0)</f>
        <v>Strider Sport 16 - 2018</v>
      </c>
      <c r="I4124" s="1">
        <f t="shared" si="129"/>
        <v>499.88</v>
      </c>
    </row>
    <row r="4125" spans="1:9" x14ac:dyDescent="0.2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 s="1">
        <f t="shared" si="128"/>
        <v>659.94</v>
      </c>
      <c r="H4125" s="1" t="str">
        <f>_xlfn.XLOOKUP(C4125,Product!A:A,Product!B:B,"not found",0)</f>
        <v>Electra Townie Original 3i EQ - 2017/2018</v>
      </c>
      <c r="I4125" s="1">
        <f t="shared" si="129"/>
        <v>659.94</v>
      </c>
    </row>
    <row r="4126" spans="1:9" x14ac:dyDescent="0.2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 s="1">
        <f t="shared" si="128"/>
        <v>3499.79</v>
      </c>
      <c r="H4126" s="1" t="str">
        <f>_xlfn.XLOOKUP(C4126,Product!A:A,Product!B:B,"not found",0)</f>
        <v>Trek XM700+ - 2018</v>
      </c>
      <c r="I4126" s="1">
        <f t="shared" si="129"/>
        <v>3499.79</v>
      </c>
    </row>
    <row r="4127" spans="1:9" x14ac:dyDescent="0.2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 s="1">
        <f t="shared" si="128"/>
        <v>1399.88</v>
      </c>
      <c r="H4127" s="1" t="str">
        <f>_xlfn.XLOOKUP(C4127,Product!A:A,Product!B:B,"not found",0)</f>
        <v>Electra Townie Commute 8D Ladies' - 2018</v>
      </c>
      <c r="I4127" s="1">
        <f t="shared" si="129"/>
        <v>1399.88</v>
      </c>
    </row>
    <row r="4128" spans="1:9" x14ac:dyDescent="0.2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 s="1">
        <f t="shared" si="128"/>
        <v>419.93</v>
      </c>
      <c r="H4128" s="1" t="str">
        <f>_xlfn.XLOOKUP(C4128,Product!A:A,Product!B:B,"not found",0)</f>
        <v>Haro Shredder 20 - 2017</v>
      </c>
      <c r="I4128" s="1">
        <f t="shared" si="129"/>
        <v>419.93</v>
      </c>
    </row>
    <row r="4129" spans="1:9" x14ac:dyDescent="0.2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 s="1">
        <f t="shared" si="128"/>
        <v>1279.78</v>
      </c>
      <c r="H4129" s="1" t="str">
        <f>_xlfn.XLOOKUP(C4129,Product!A:A,Product!B:B,"not found",0)</f>
        <v>Electra Moto 3i - 2018</v>
      </c>
      <c r="I4129" s="1">
        <f t="shared" si="129"/>
        <v>1279.78</v>
      </c>
    </row>
    <row r="4130" spans="1:9" x14ac:dyDescent="0.2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 s="1">
        <f t="shared" si="128"/>
        <v>4999.78</v>
      </c>
      <c r="H4130" s="1" t="str">
        <f>_xlfn.XLOOKUP(C4130,Product!A:A,Product!B:B,"not found",0)</f>
        <v>Trek Fuel EX 7 29 - 2018</v>
      </c>
      <c r="I4130" s="1">
        <f t="shared" si="129"/>
        <v>4999.78</v>
      </c>
    </row>
    <row r="4131" spans="1:9" x14ac:dyDescent="0.2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 s="1">
        <f t="shared" si="128"/>
        <v>1359.93</v>
      </c>
      <c r="H4131" s="1" t="str">
        <f>_xlfn.XLOOKUP(C4131,Product!A:A,Product!B:B,"not found",0)</f>
        <v>Electra Townie Original 21D EQ Ladies' - 2018</v>
      </c>
      <c r="I4131" s="1">
        <f t="shared" si="129"/>
        <v>1359.93</v>
      </c>
    </row>
    <row r="4132" spans="1:9" x14ac:dyDescent="0.2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 s="1">
        <f t="shared" si="128"/>
        <v>1498.93</v>
      </c>
      <c r="H4132" s="1" t="str">
        <f>_xlfn.XLOOKUP(C4132,Product!A:A,Product!B:B,"not found",0)</f>
        <v>Surly Krampus - 2018</v>
      </c>
      <c r="I4132" s="1">
        <f t="shared" si="129"/>
        <v>1498.93</v>
      </c>
    </row>
    <row r="4133" spans="1:9" x14ac:dyDescent="0.2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 s="1">
        <f t="shared" si="128"/>
        <v>1799.78</v>
      </c>
      <c r="H4133" s="1" t="str">
        <f>_xlfn.XLOOKUP(C4133,Product!A:A,Product!B:B,"not found",0)</f>
        <v>Electra Koa 3i Ladies' - 2018</v>
      </c>
      <c r="I4133" s="1">
        <f t="shared" si="129"/>
        <v>1799.78</v>
      </c>
    </row>
    <row r="4134" spans="1:9" x14ac:dyDescent="0.2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 s="1">
        <f t="shared" si="128"/>
        <v>899.89</v>
      </c>
      <c r="H4134" s="1" t="str">
        <f>_xlfn.XLOOKUP(C4134,Product!A:A,Product!B:B,"not found",0)</f>
        <v>Electra Daydreamer 3i Ladies' - 2018</v>
      </c>
      <c r="I4134" s="1">
        <f t="shared" si="129"/>
        <v>899.89</v>
      </c>
    </row>
    <row r="4135" spans="1:9" x14ac:dyDescent="0.2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 s="1">
        <f t="shared" si="128"/>
        <v>2299.79</v>
      </c>
      <c r="H4135" s="1" t="str">
        <f>_xlfn.XLOOKUP(C4135,Product!A:A,Product!B:B,"not found",0)</f>
        <v>Trek Verve+ Lowstep - 2018</v>
      </c>
      <c r="I4135" s="1">
        <f t="shared" si="129"/>
        <v>2299.79</v>
      </c>
    </row>
    <row r="4136" spans="1:9" x14ac:dyDescent="0.2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 s="1">
        <f t="shared" si="128"/>
        <v>6999.8799999999992</v>
      </c>
      <c r="H4136" s="1" t="str">
        <f>_xlfn.XLOOKUP(C4136,Product!A:A,Product!B:B,"not found",0)</f>
        <v>Trek XM700+ - 2018</v>
      </c>
      <c r="I4136" s="1">
        <f t="shared" si="129"/>
        <v>6999.8799999999992</v>
      </c>
    </row>
    <row r="4137" spans="1:9" x14ac:dyDescent="0.2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 s="1">
        <f t="shared" si="128"/>
        <v>1898.9</v>
      </c>
      <c r="H4137" s="1" t="str">
        <f>_xlfn.XLOOKUP(C4137,Product!A:A,Product!B:B,"not found",0)</f>
        <v>Surly ECR 27.5 - 2018</v>
      </c>
      <c r="I4137" s="1">
        <f t="shared" si="129"/>
        <v>1898.9</v>
      </c>
    </row>
    <row r="4138" spans="1:9" x14ac:dyDescent="0.2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 s="1">
        <f t="shared" si="128"/>
        <v>559.93000000000006</v>
      </c>
      <c r="H4138" s="1" t="str">
        <f>_xlfn.XLOOKUP(C4138,Product!A:A,Product!B:B,"not found",0)</f>
        <v>Electra Water Lily 1 (16-inch) - Girl's - 2018</v>
      </c>
      <c r="I4138" s="1">
        <f t="shared" si="129"/>
        <v>559.93000000000006</v>
      </c>
    </row>
    <row r="4139" spans="1:9" x14ac:dyDescent="0.2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 s="1">
        <f t="shared" si="128"/>
        <v>1523.91</v>
      </c>
      <c r="H4139" s="1" t="str">
        <f>_xlfn.XLOOKUP(C4139,Product!A:A,Product!B:B,"not found",0)</f>
        <v>Sun Bicycles Brickell Tandem CB - 2017</v>
      </c>
      <c r="I4139" s="1">
        <f t="shared" si="129"/>
        <v>1523.91</v>
      </c>
    </row>
    <row r="4140" spans="1:9" x14ac:dyDescent="0.2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 s="1">
        <f t="shared" si="128"/>
        <v>1839.78</v>
      </c>
      <c r="H4140" s="1" t="str">
        <f>_xlfn.XLOOKUP(C4140,Product!A:A,Product!B:B,"not found",0)</f>
        <v>Trek Domane AL 3 Women's - 2018</v>
      </c>
      <c r="I4140" s="1">
        <f t="shared" si="129"/>
        <v>1839.78</v>
      </c>
    </row>
    <row r="4141" spans="1:9" x14ac:dyDescent="0.2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 s="1">
        <f t="shared" si="128"/>
        <v>679.94</v>
      </c>
      <c r="H4141" s="1" t="str">
        <f>_xlfn.XLOOKUP(C4141,Product!A:A,Product!B:B,"not found",0)</f>
        <v>Electra Townie Original 21D EQ Ladies' - 2018</v>
      </c>
      <c r="I4141" s="1">
        <f t="shared" si="129"/>
        <v>679.94</v>
      </c>
    </row>
    <row r="4142" spans="1:9" x14ac:dyDescent="0.2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 s="1">
        <f t="shared" si="128"/>
        <v>749.79</v>
      </c>
      <c r="H4142" s="1" t="str">
        <f>_xlfn.XLOOKUP(C4142,Product!A:A,Product!B:B,"not found",0)</f>
        <v>Electra White Water 3i - 2018</v>
      </c>
      <c r="I4142" s="1">
        <f t="shared" si="129"/>
        <v>749.79</v>
      </c>
    </row>
    <row r="4143" spans="1:9" x14ac:dyDescent="0.2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 s="1">
        <f t="shared" si="128"/>
        <v>416.89</v>
      </c>
      <c r="H4143" s="1" t="str">
        <f>_xlfn.XLOOKUP(C4143,Product!A:A,Product!B:B,"not found",0)</f>
        <v>Sun Bicycles Atlas X-Type - 2017</v>
      </c>
      <c r="I4143" s="1">
        <f t="shared" si="129"/>
        <v>416.89</v>
      </c>
    </row>
    <row r="4144" spans="1:9" x14ac:dyDescent="0.2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 s="1">
        <f t="shared" si="128"/>
        <v>449.79</v>
      </c>
      <c r="H4144" s="1" t="str">
        <f>_xlfn.XLOOKUP(C4144,Product!A:A,Product!B:B,"not found",0)</f>
        <v>Electra Townie Original 1 - 2018</v>
      </c>
      <c r="I4144" s="1">
        <f t="shared" si="129"/>
        <v>449.79</v>
      </c>
    </row>
    <row r="4145" spans="1:9" x14ac:dyDescent="0.2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 s="1">
        <f t="shared" si="128"/>
        <v>979.78</v>
      </c>
      <c r="H4145" s="1" t="str">
        <f>_xlfn.XLOOKUP(C4145,Product!A:A,Product!B:B,"not found",0)</f>
        <v>Trek Marlin 5 - 2018</v>
      </c>
      <c r="I4145" s="1">
        <f t="shared" si="129"/>
        <v>979.78</v>
      </c>
    </row>
    <row r="4146" spans="1:9" x14ac:dyDescent="0.2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 s="1">
        <f t="shared" si="128"/>
        <v>9999.7799999999988</v>
      </c>
      <c r="H4146" s="1" t="str">
        <f>_xlfn.XLOOKUP(C4146,Product!A:A,Product!B:B,"not found",0)</f>
        <v>Trek Remedy 9.8 27.5 - 2018</v>
      </c>
      <c r="I4146" s="1">
        <f t="shared" si="129"/>
        <v>9999.7799999999988</v>
      </c>
    </row>
    <row r="4147" spans="1:9" x14ac:dyDescent="0.2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 s="1">
        <f t="shared" si="128"/>
        <v>639.93000000000006</v>
      </c>
      <c r="H4147" s="1" t="str">
        <f>_xlfn.XLOOKUP(C4147,Product!A:A,Product!B:B,"not found",0)</f>
        <v>Electra Cruiser 7D (24-Inch) Ladies' - 2016/2018</v>
      </c>
      <c r="I4147" s="1">
        <f t="shared" si="129"/>
        <v>639.93000000000006</v>
      </c>
    </row>
    <row r="4148" spans="1:9" x14ac:dyDescent="0.2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 s="1">
        <f t="shared" si="128"/>
        <v>89.92</v>
      </c>
      <c r="H4148" s="1" t="str">
        <f>_xlfn.XLOOKUP(C4148,Product!A:A,Product!B:B,"not found",0)</f>
        <v>Strider Classic 12 Balance Bike - 2018</v>
      </c>
      <c r="I4148" s="1">
        <f t="shared" si="129"/>
        <v>89.92</v>
      </c>
    </row>
    <row r="4149" spans="1:9" x14ac:dyDescent="0.2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 s="1">
        <f t="shared" si="128"/>
        <v>209.92000000000002</v>
      </c>
      <c r="H4149" s="1" t="str">
        <f>_xlfn.XLOOKUP(C4149,Product!A:A,Product!B:B,"not found",0)</f>
        <v>Haro Shredder 20 Girls - 2017</v>
      </c>
      <c r="I4149" s="1">
        <f t="shared" si="129"/>
        <v>209.92000000000002</v>
      </c>
    </row>
    <row r="4150" spans="1:9" x14ac:dyDescent="0.2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 s="1">
        <f t="shared" si="128"/>
        <v>6399.9299999999994</v>
      </c>
      <c r="H4150" s="1" t="str">
        <f>_xlfn.XLOOKUP(C4150,Product!A:A,Product!B:B,"not found",0)</f>
        <v>Trek Domane SL Disc Frameset - 2017</v>
      </c>
      <c r="I4150" s="1">
        <f t="shared" si="129"/>
        <v>6399.9299999999994</v>
      </c>
    </row>
    <row r="4151" spans="1:9" x14ac:dyDescent="0.2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 s="1">
        <f t="shared" si="128"/>
        <v>3599.91</v>
      </c>
      <c r="H4151" s="1" t="str">
        <f>_xlfn.XLOOKUP(C4151,Product!A:A,Product!B:B,"not found",0)</f>
        <v>Trek Domane ALR 5 Disc - 2018</v>
      </c>
      <c r="I4151" s="1">
        <f t="shared" si="129"/>
        <v>3599.91</v>
      </c>
    </row>
    <row r="4152" spans="1:9" x14ac:dyDescent="0.2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 s="1">
        <f t="shared" si="128"/>
        <v>749.92</v>
      </c>
      <c r="H4152" s="1" t="str">
        <f>_xlfn.XLOOKUP(C4152,Product!A:A,Product!B:B,"not found",0)</f>
        <v>Electra Queen of Hearts 3i - 2018</v>
      </c>
      <c r="I4152" s="1">
        <f t="shared" si="129"/>
        <v>749.92</v>
      </c>
    </row>
    <row r="4153" spans="1:9" x14ac:dyDescent="0.2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 s="1">
        <f t="shared" si="128"/>
        <v>1199.93</v>
      </c>
      <c r="H4153" s="1" t="str">
        <f>_xlfn.XLOOKUP(C4153,Product!A:A,Product!B:B,"not found",0)</f>
        <v>Electra Townie Original 7D EQ - Women's - 2016</v>
      </c>
      <c r="I4153" s="1">
        <f t="shared" si="129"/>
        <v>1199.93</v>
      </c>
    </row>
    <row r="4154" spans="1:9" x14ac:dyDescent="0.2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 s="1">
        <f t="shared" si="128"/>
        <v>319.92</v>
      </c>
      <c r="H4154" s="1" t="str">
        <f>_xlfn.XLOOKUP(C4154,Product!A:A,Product!B:B,"not found",0)</f>
        <v>Electra Cruiser 7D (24-Inch) Ladies' - 2016/2018</v>
      </c>
      <c r="I4154" s="1">
        <f t="shared" si="129"/>
        <v>319.92</v>
      </c>
    </row>
    <row r="4155" spans="1:9" x14ac:dyDescent="0.2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 s="1">
        <f t="shared" si="128"/>
        <v>859.91</v>
      </c>
      <c r="H4155" s="1" t="str">
        <f>_xlfn.XLOOKUP(C4155,Product!A:A,Product!B:B,"not found",0)</f>
        <v>Electra Cruiser Lux 1 Ladies' - 2018</v>
      </c>
      <c r="I4155" s="1">
        <f t="shared" si="129"/>
        <v>859.91</v>
      </c>
    </row>
    <row r="4156" spans="1:9" x14ac:dyDescent="0.2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 s="1">
        <f t="shared" si="128"/>
        <v>2999.9399999999996</v>
      </c>
      <c r="H4156" s="1" t="str">
        <f>_xlfn.XLOOKUP(C4156,Product!A:A,Product!B:B,"not found",0)</f>
        <v>Trek Remedy 7 27.5 - 2018</v>
      </c>
      <c r="I4156" s="1">
        <f t="shared" si="129"/>
        <v>2999.9399999999996</v>
      </c>
    </row>
    <row r="4157" spans="1:9" x14ac:dyDescent="0.2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 s="1">
        <f t="shared" si="128"/>
        <v>3097.93</v>
      </c>
      <c r="H4157" s="1" t="str">
        <f>_xlfn.XLOOKUP(C4157,Product!A:A,Product!B:B,"not found",0)</f>
        <v>Surly Straggler 650b - 2018</v>
      </c>
      <c r="I4157" s="1">
        <f t="shared" si="129"/>
        <v>3097.93</v>
      </c>
    </row>
    <row r="4158" spans="1:9" x14ac:dyDescent="0.2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 s="1">
        <f t="shared" si="128"/>
        <v>1799.78</v>
      </c>
      <c r="H4158" s="1" t="str">
        <f>_xlfn.XLOOKUP(C4158,Product!A:A,Product!B:B,"not found",0)</f>
        <v>Electra Super Moto 8i - 2018</v>
      </c>
      <c r="I4158" s="1">
        <f t="shared" si="129"/>
        <v>1799.78</v>
      </c>
    </row>
    <row r="4159" spans="1:9" x14ac:dyDescent="0.2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 s="1">
        <f t="shared" si="128"/>
        <v>469.92</v>
      </c>
      <c r="H4159" s="1" t="str">
        <f>_xlfn.XLOOKUP(C4159,Product!A:A,Product!B:B,"not found",0)</f>
        <v>Surly Big Fat Dummy Frameset - 2018</v>
      </c>
      <c r="I4159" s="1">
        <f t="shared" si="129"/>
        <v>469.92</v>
      </c>
    </row>
    <row r="4160" spans="1:9" x14ac:dyDescent="0.2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 s="1">
        <f t="shared" si="128"/>
        <v>5599.91</v>
      </c>
      <c r="H4160" s="1" t="str">
        <f>_xlfn.XLOOKUP(C4160,Product!A:A,Product!B:B,"not found",0)</f>
        <v>Trek Neko+ - 2018</v>
      </c>
      <c r="I4160" s="1">
        <f t="shared" si="129"/>
        <v>5599.91</v>
      </c>
    </row>
    <row r="4161" spans="1:9" x14ac:dyDescent="0.2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 s="1">
        <f t="shared" si="128"/>
        <v>2499.89</v>
      </c>
      <c r="H4161" s="1" t="str">
        <f>_xlfn.XLOOKUP(C4161,Product!A:A,Product!B:B,"not found",0)</f>
        <v>Surly Karate Monkey 27.5+ Frameset - 2017</v>
      </c>
      <c r="I4161" s="1">
        <f t="shared" si="129"/>
        <v>2499.89</v>
      </c>
    </row>
    <row r="4162" spans="1:9" x14ac:dyDescent="0.2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 s="1">
        <f t="shared" si="128"/>
        <v>6999.78</v>
      </c>
      <c r="H4162" s="1" t="str">
        <f>_xlfn.XLOOKUP(C4162,Product!A:A,Product!B:B,"not found",0)</f>
        <v>Trek XM700+ - 2018</v>
      </c>
      <c r="I4162" s="1">
        <f t="shared" si="129"/>
        <v>6999.78</v>
      </c>
    </row>
    <row r="4163" spans="1:9" x14ac:dyDescent="0.2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 s="1">
        <f t="shared" ref="G4163:G4226" si="130">(E4163*D4163)-F4163</f>
        <v>1319.78</v>
      </c>
      <c r="H4163" s="1" t="str">
        <f>_xlfn.XLOOKUP(C4163,Product!A:A,Product!B:B,"not found",0)</f>
        <v>Electra Amsterdam Original 3i - 2015/2017</v>
      </c>
      <c r="I4163" s="1">
        <f t="shared" ref="I4163:I4226" si="131">(D4163*E4163)-F4163</f>
        <v>1319.78</v>
      </c>
    </row>
    <row r="4164" spans="1:9" x14ac:dyDescent="0.2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 s="1">
        <f t="shared" si="130"/>
        <v>319.94</v>
      </c>
      <c r="H4164" s="1" t="str">
        <f>_xlfn.XLOOKUP(C4164,Product!A:A,Product!B:B,"not found",0)</f>
        <v>Electra Cruiser 7D Ladies' - 2016/2018</v>
      </c>
      <c r="I4164" s="1">
        <f t="shared" si="131"/>
        <v>319.94</v>
      </c>
    </row>
    <row r="4165" spans="1:9" x14ac:dyDescent="0.2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 s="1">
        <f t="shared" si="130"/>
        <v>319.92</v>
      </c>
      <c r="H4165" s="1" t="str">
        <f>_xlfn.XLOOKUP(C4165,Product!A:A,Product!B:B,"not found",0)</f>
        <v>Electra Cruiser 7D (24-Inch) Ladies' - 2016/2018</v>
      </c>
      <c r="I4165" s="1">
        <f t="shared" si="131"/>
        <v>319.92</v>
      </c>
    </row>
    <row r="4166" spans="1:9" x14ac:dyDescent="0.2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 s="1">
        <f t="shared" si="130"/>
        <v>3999.89</v>
      </c>
      <c r="H4166" s="1" t="str">
        <f>_xlfn.XLOOKUP(C4166,Product!A:A,Product!B:B,"not found",0)</f>
        <v>Trek Boone 7 Disc - 2018</v>
      </c>
      <c r="I4166" s="1">
        <f t="shared" si="131"/>
        <v>3999.89</v>
      </c>
    </row>
    <row r="4167" spans="1:9" x14ac:dyDescent="0.2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 s="1">
        <f t="shared" si="130"/>
        <v>749.92</v>
      </c>
      <c r="H4167" s="1" t="str">
        <f>_xlfn.XLOOKUP(C4167,Product!A:A,Product!B:B,"not found",0)</f>
        <v>Surly Ogre Frameset - 2017</v>
      </c>
      <c r="I4167" s="1">
        <f t="shared" si="131"/>
        <v>749.92</v>
      </c>
    </row>
    <row r="4168" spans="1:9" x14ac:dyDescent="0.2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 s="1">
        <f t="shared" si="130"/>
        <v>2999.79</v>
      </c>
      <c r="H4168" s="1" t="str">
        <f>_xlfn.XLOOKUP(C4168,Product!A:A,Product!B:B,"not found",0)</f>
        <v>Electra Townie Commute Go! Ladies' - 2018</v>
      </c>
      <c r="I4168" s="1">
        <f t="shared" si="131"/>
        <v>2999.79</v>
      </c>
    </row>
    <row r="4169" spans="1:9" x14ac:dyDescent="0.2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 s="1">
        <f t="shared" si="130"/>
        <v>749.92</v>
      </c>
      <c r="H4169" s="1" t="str">
        <f>_xlfn.XLOOKUP(C4169,Product!A:A,Product!B:B,"not found",0)</f>
        <v>Electra Townie Balloon 3i EQ - 2017/2018</v>
      </c>
      <c r="I4169" s="1">
        <f t="shared" si="131"/>
        <v>749.92</v>
      </c>
    </row>
    <row r="4170" spans="1:9" x14ac:dyDescent="0.2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 s="1">
        <f t="shared" si="130"/>
        <v>1898.8</v>
      </c>
      <c r="H4170" s="1" t="str">
        <f>_xlfn.XLOOKUP(C4170,Product!A:A,Product!B:B,"not found",0)</f>
        <v>Surly ECR - 2018</v>
      </c>
      <c r="I4170" s="1">
        <f t="shared" si="131"/>
        <v>1898.8</v>
      </c>
    </row>
    <row r="4171" spans="1:9" x14ac:dyDescent="0.2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 s="1">
        <f t="shared" si="130"/>
        <v>249.92000000000002</v>
      </c>
      <c r="H4171" s="1" t="str">
        <f>_xlfn.XLOOKUP(C4171,Product!A:A,Product!B:B,"not found",0)</f>
        <v>Strider Sport 16 - 2018</v>
      </c>
      <c r="I4171" s="1">
        <f t="shared" si="131"/>
        <v>249.92000000000002</v>
      </c>
    </row>
    <row r="4172" spans="1:9" x14ac:dyDescent="0.2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 s="1">
        <f t="shared" si="130"/>
        <v>859.78</v>
      </c>
      <c r="H4172" s="1" t="str">
        <f>_xlfn.XLOOKUP(C4172,Product!A:A,Product!B:B,"not found",0)</f>
        <v>Electra Cruiser Lux 1 - 2016/2018</v>
      </c>
      <c r="I4172" s="1">
        <f t="shared" si="131"/>
        <v>859.78</v>
      </c>
    </row>
    <row r="4173" spans="1:9" x14ac:dyDescent="0.2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 s="1">
        <f t="shared" si="130"/>
        <v>2999.89</v>
      </c>
      <c r="H4173" s="1" t="str">
        <f>_xlfn.XLOOKUP(C4173,Product!A:A,Product!B:B,"not found",0)</f>
        <v>Electra Townie Commute Go! - 2018</v>
      </c>
      <c r="I4173" s="1">
        <f t="shared" si="131"/>
        <v>2999.89</v>
      </c>
    </row>
    <row r="4174" spans="1:9" x14ac:dyDescent="0.2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 s="1">
        <f t="shared" si="130"/>
        <v>559.88</v>
      </c>
      <c r="H4174" s="1" t="str">
        <f>_xlfn.XLOOKUP(C4174,Product!A:A,Product!B:B,"not found",0)</f>
        <v>Electra Starship 1 16" - 2018</v>
      </c>
      <c r="I4174" s="1">
        <f t="shared" si="131"/>
        <v>559.88</v>
      </c>
    </row>
    <row r="4175" spans="1:9" x14ac:dyDescent="0.2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 s="1">
        <f t="shared" si="130"/>
        <v>9999.91</v>
      </c>
      <c r="H4175" s="1" t="str">
        <f>_xlfn.XLOOKUP(C4175,Product!A:A,Product!B:B,"not found",0)</f>
        <v>Trek Powerfly 8 FS Plus - 2017</v>
      </c>
      <c r="I4175" s="1">
        <f t="shared" si="131"/>
        <v>9999.91</v>
      </c>
    </row>
    <row r="4176" spans="1:9" x14ac:dyDescent="0.2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 s="1">
        <f t="shared" si="130"/>
        <v>3199.91</v>
      </c>
      <c r="H4176" s="1" t="str">
        <f>_xlfn.XLOOKUP(C4176,Product!A:A,Product!B:B,"not found",0)</f>
        <v>Trek Stache 5 - 2018</v>
      </c>
      <c r="I4176" s="1">
        <f t="shared" si="131"/>
        <v>3199.91</v>
      </c>
    </row>
    <row r="4177" spans="1:9" x14ac:dyDescent="0.2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 s="1">
        <f t="shared" si="130"/>
        <v>999.79</v>
      </c>
      <c r="H4177" s="1" t="str">
        <f>_xlfn.XLOOKUP(C4177,Product!A:A,Product!B:B,"not found",0)</f>
        <v>Trek X-Caliber 8 - 2017</v>
      </c>
      <c r="I4177" s="1">
        <f t="shared" si="131"/>
        <v>999.79</v>
      </c>
    </row>
    <row r="4178" spans="1:9" x14ac:dyDescent="0.2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 s="1">
        <f t="shared" si="130"/>
        <v>1559.89</v>
      </c>
      <c r="H4178" s="1" t="str">
        <f>_xlfn.XLOOKUP(C4178,Product!A:A,Product!B:B,"not found",0)</f>
        <v>Sun Bicycles ElectroLite - 2017</v>
      </c>
      <c r="I4178" s="1">
        <f t="shared" si="131"/>
        <v>1559.89</v>
      </c>
    </row>
    <row r="4179" spans="1:9" x14ac:dyDescent="0.2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 s="1">
        <f t="shared" si="130"/>
        <v>799.92</v>
      </c>
      <c r="H4179" s="1" t="str">
        <f>_xlfn.XLOOKUP(C4179,Product!A:A,Product!B:B,"not found",0)</f>
        <v>Electra Townie Balloon 3i EQ Ladies' - 2018</v>
      </c>
      <c r="I4179" s="1">
        <f t="shared" si="131"/>
        <v>799.92</v>
      </c>
    </row>
    <row r="4180" spans="1:9" x14ac:dyDescent="0.2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 s="1">
        <f t="shared" si="130"/>
        <v>1119.9100000000001</v>
      </c>
      <c r="H4180" s="1" t="str">
        <f>_xlfn.XLOOKUP(C4180,Product!A:A,Product!B:B,"not found",0)</f>
        <v>Electra Townie Original 21D Ladies' - 2018</v>
      </c>
      <c r="I4180" s="1">
        <f t="shared" si="131"/>
        <v>1119.9100000000001</v>
      </c>
    </row>
    <row r="4181" spans="1:9" x14ac:dyDescent="0.2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 s="1">
        <f t="shared" si="130"/>
        <v>3199.93</v>
      </c>
      <c r="H4181" s="1" t="str">
        <f>_xlfn.XLOOKUP(C4181,Product!A:A,Product!B:B,"not found",0)</f>
        <v>Trek Stache 5 - 2018</v>
      </c>
      <c r="I4181" s="1">
        <f t="shared" si="131"/>
        <v>3199.93</v>
      </c>
    </row>
    <row r="4182" spans="1:9" x14ac:dyDescent="0.2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 s="1">
        <f t="shared" si="130"/>
        <v>959.79</v>
      </c>
      <c r="H4182" s="1" t="str">
        <f>_xlfn.XLOOKUP(C4182,Product!A:A,Product!B:B,"not found",0)</f>
        <v>Electra Delivery 3i - 2016/2017/2018</v>
      </c>
      <c r="I4182" s="1">
        <f t="shared" si="131"/>
        <v>959.79</v>
      </c>
    </row>
    <row r="4183" spans="1:9" x14ac:dyDescent="0.2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 s="1">
        <f t="shared" si="130"/>
        <v>4999.79</v>
      </c>
      <c r="H4183" s="1" t="str">
        <f>_xlfn.XLOOKUP(C4183,Product!A:A,Product!B:B,"not found",0)</f>
        <v>Trek Remedy 9.8 27.5 - 2018</v>
      </c>
      <c r="I4183" s="1">
        <f t="shared" si="131"/>
        <v>4999.79</v>
      </c>
    </row>
    <row r="4184" spans="1:9" x14ac:dyDescent="0.2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 s="1">
        <f t="shared" si="130"/>
        <v>2199.9299999999998</v>
      </c>
      <c r="H4184" s="1" t="str">
        <f>_xlfn.XLOOKUP(C4184,Product!A:A,Product!B:B,"not found",0)</f>
        <v>Electra Amsterdam Fashion 7i Ladies' - 2017</v>
      </c>
      <c r="I4184" s="1">
        <f t="shared" si="131"/>
        <v>2199.9299999999998</v>
      </c>
    </row>
    <row r="4185" spans="1:9" x14ac:dyDescent="0.2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 s="1">
        <f t="shared" si="130"/>
        <v>2598.9</v>
      </c>
      <c r="H4185" s="1" t="str">
        <f>_xlfn.XLOOKUP(C4185,Product!A:A,Product!B:B,"not found",0)</f>
        <v>Heller Shagamaw GX1 - 2018</v>
      </c>
      <c r="I4185" s="1">
        <f t="shared" si="131"/>
        <v>2598.9</v>
      </c>
    </row>
    <row r="4186" spans="1:9" x14ac:dyDescent="0.2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 s="1">
        <f t="shared" si="130"/>
        <v>5599.91</v>
      </c>
      <c r="H4186" s="1" t="str">
        <f>_xlfn.XLOOKUP(C4186,Product!A:A,Product!B:B,"not found",0)</f>
        <v>Trek Dual Sport+ - 2018</v>
      </c>
      <c r="I4186" s="1">
        <f t="shared" si="131"/>
        <v>5599.91</v>
      </c>
    </row>
    <row r="4187" spans="1:9" x14ac:dyDescent="0.2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 s="1">
        <f t="shared" si="130"/>
        <v>2299.9199999999996</v>
      </c>
      <c r="H4187" s="1" t="str">
        <f>_xlfn.XLOOKUP(C4187,Product!A:A,Product!B:B,"not found",0)</f>
        <v>Trek Fuel EX 5 27.5 Plus - 2017</v>
      </c>
      <c r="I4187" s="1">
        <f t="shared" si="131"/>
        <v>2299.9199999999996</v>
      </c>
    </row>
    <row r="4188" spans="1:9" x14ac:dyDescent="0.2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 s="1">
        <f t="shared" si="130"/>
        <v>89.789999999999992</v>
      </c>
      <c r="H4188" s="1" t="str">
        <f>_xlfn.XLOOKUP(C4188,Product!A:A,Product!B:B,"not found",0)</f>
        <v>Strider Classic 12 Balance Bike - 2018</v>
      </c>
      <c r="I4188" s="1">
        <f t="shared" si="131"/>
        <v>89.789999999999992</v>
      </c>
    </row>
    <row r="4189" spans="1:9" x14ac:dyDescent="0.2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 s="1">
        <f t="shared" si="130"/>
        <v>979.93000000000006</v>
      </c>
      <c r="H4189" s="1" t="str">
        <f>_xlfn.XLOOKUP(C4189,Product!A:A,Product!B:B,"not found",0)</f>
        <v>Electra Townie Original 7D - 2017</v>
      </c>
      <c r="I4189" s="1">
        <f t="shared" si="131"/>
        <v>979.93000000000006</v>
      </c>
    </row>
    <row r="4190" spans="1:9" x14ac:dyDescent="0.2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 s="1">
        <f t="shared" si="130"/>
        <v>7499.94</v>
      </c>
      <c r="H4190" s="1" t="str">
        <f>_xlfn.XLOOKUP(C4190,Product!A:A,Product!B:B,"not found",0)</f>
        <v>Trek Domane SLR 8 Disc - 2018</v>
      </c>
      <c r="I4190" s="1">
        <f t="shared" si="131"/>
        <v>7499.94</v>
      </c>
    </row>
    <row r="4191" spans="1:9" x14ac:dyDescent="0.2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 s="1">
        <f t="shared" si="130"/>
        <v>1499.91</v>
      </c>
      <c r="H4191" s="1" t="str">
        <f>_xlfn.XLOOKUP(C4191,Product!A:A,Product!B:B,"not found",0)</f>
        <v>Trek Marlin 7 - 2017/2018</v>
      </c>
      <c r="I4191" s="1">
        <f t="shared" si="131"/>
        <v>1499.91</v>
      </c>
    </row>
    <row r="4192" spans="1:9" x14ac:dyDescent="0.2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 s="1">
        <f t="shared" si="130"/>
        <v>416.92</v>
      </c>
      <c r="H4192" s="1" t="str">
        <f>_xlfn.XLOOKUP(C4192,Product!A:A,Product!B:B,"not found",0)</f>
        <v>Sun Bicycles Cruz 7 - Women's - 2017</v>
      </c>
      <c r="I4192" s="1">
        <f t="shared" si="131"/>
        <v>416.92</v>
      </c>
    </row>
    <row r="4193" spans="1:9" x14ac:dyDescent="0.2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 s="1">
        <f t="shared" si="130"/>
        <v>4499.8899999999994</v>
      </c>
      <c r="H4193" s="1" t="str">
        <f>_xlfn.XLOOKUP(C4193,Product!A:A,Product!B:B,"not found",0)</f>
        <v>Trek CrossRip+ - 2018</v>
      </c>
      <c r="I4193" s="1">
        <f t="shared" si="131"/>
        <v>4499.8899999999994</v>
      </c>
    </row>
    <row r="4194" spans="1:9" x14ac:dyDescent="0.2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 s="1">
        <f t="shared" si="130"/>
        <v>1499.93</v>
      </c>
      <c r="H4194" s="1" t="str">
        <f>_xlfn.XLOOKUP(C4194,Product!A:A,Product!B:B,"not found",0)</f>
        <v>Trek Domane AL 2 - 2018</v>
      </c>
      <c r="I4194" s="1">
        <f t="shared" si="131"/>
        <v>1499.93</v>
      </c>
    </row>
    <row r="4195" spans="1:9" x14ac:dyDescent="0.2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 s="1">
        <f t="shared" si="130"/>
        <v>501.78000000000003</v>
      </c>
      <c r="H4195" s="1" t="str">
        <f>_xlfn.XLOOKUP(C4195,Product!A:A,Product!B:B,"not found",0)</f>
        <v>Sun Bicycles Revolutions 24 - Girl's - 2017</v>
      </c>
      <c r="I4195" s="1">
        <f t="shared" si="131"/>
        <v>501.78000000000003</v>
      </c>
    </row>
    <row r="4196" spans="1:9" x14ac:dyDescent="0.2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 s="1">
        <f t="shared" si="130"/>
        <v>469.94</v>
      </c>
      <c r="H4196" s="1" t="str">
        <f>_xlfn.XLOOKUP(C4196,Product!A:A,Product!B:B,"not found",0)</f>
        <v>Surly Ice Cream Truck Frameset - 2016</v>
      </c>
      <c r="I4196" s="1">
        <f t="shared" si="131"/>
        <v>469.94</v>
      </c>
    </row>
    <row r="4197" spans="1:9" x14ac:dyDescent="0.2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 s="1">
        <f t="shared" si="130"/>
        <v>1399.78</v>
      </c>
      <c r="H4197" s="1" t="str">
        <f>_xlfn.XLOOKUP(C4197,Product!A:A,Product!B:B,"not found",0)</f>
        <v>Electra Townie Commute 8D Ladies' - 2018</v>
      </c>
      <c r="I4197" s="1">
        <f t="shared" si="131"/>
        <v>1399.78</v>
      </c>
    </row>
    <row r="4198" spans="1:9" x14ac:dyDescent="0.2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 s="1">
        <f t="shared" si="130"/>
        <v>1409.92</v>
      </c>
      <c r="H4198" s="1" t="str">
        <f>_xlfn.XLOOKUP(C4198,Product!A:A,Product!B:B,"not found",0)</f>
        <v>Haro SR 1.3 - 2017</v>
      </c>
      <c r="I4198" s="1">
        <f t="shared" si="131"/>
        <v>1409.92</v>
      </c>
    </row>
    <row r="4199" spans="1:9" x14ac:dyDescent="0.2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 s="1">
        <f t="shared" si="130"/>
        <v>4499.8899999999994</v>
      </c>
      <c r="H4199" s="1" t="str">
        <f>_xlfn.XLOOKUP(C4199,Product!A:A,Product!B:B,"not found",0)</f>
        <v>Trek Emonda SLR 6 - 2018</v>
      </c>
      <c r="I4199" s="1">
        <f t="shared" si="131"/>
        <v>4499.8899999999994</v>
      </c>
    </row>
    <row r="4200" spans="1:9" x14ac:dyDescent="0.2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 s="1">
        <f t="shared" si="130"/>
        <v>269.92</v>
      </c>
      <c r="H4200" s="1" t="str">
        <f>_xlfn.XLOOKUP(C4200,Product!A:A,Product!B:B,"not found",0)</f>
        <v>Electra Cruiser 1 Ladies' - 2018</v>
      </c>
      <c r="I4200" s="1">
        <f t="shared" si="131"/>
        <v>269.92</v>
      </c>
    </row>
    <row r="4201" spans="1:9" x14ac:dyDescent="0.2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 s="1">
        <f t="shared" si="130"/>
        <v>419.93</v>
      </c>
      <c r="H4201" s="1" t="str">
        <f>_xlfn.XLOOKUP(C4201,Product!A:A,Product!B:B,"not found",0)</f>
        <v>Trek Precaliber 16 Girl's - 2018</v>
      </c>
      <c r="I4201" s="1">
        <f t="shared" si="131"/>
        <v>419.93</v>
      </c>
    </row>
    <row r="4202" spans="1:9" x14ac:dyDescent="0.2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 s="1">
        <f t="shared" si="130"/>
        <v>4499.92</v>
      </c>
      <c r="H4202" s="1" t="str">
        <f>_xlfn.XLOOKUP(C4202,Product!A:A,Product!B:B,"not found",0)</f>
        <v>Trek Emonda SLR 6 - 2018</v>
      </c>
      <c r="I4202" s="1">
        <f t="shared" si="131"/>
        <v>4499.92</v>
      </c>
    </row>
    <row r="4203" spans="1:9" x14ac:dyDescent="0.2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 s="1">
        <f t="shared" si="130"/>
        <v>1999.79</v>
      </c>
      <c r="H4203" s="1" t="str">
        <f>_xlfn.XLOOKUP(C4203,Product!A:A,Product!B:B,"not found",0)</f>
        <v>Trek Emonda S 5 - 2017</v>
      </c>
      <c r="I4203" s="1">
        <f t="shared" si="131"/>
        <v>1999.79</v>
      </c>
    </row>
    <row r="4204" spans="1:9" x14ac:dyDescent="0.2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 s="1">
        <f t="shared" si="130"/>
        <v>679.88</v>
      </c>
      <c r="H4204" s="1" t="str">
        <f>_xlfn.XLOOKUP(C4204,Product!A:A,Product!B:B,"not found",0)</f>
        <v>Electra Townie 7D (20-inch) - Boys' - 2017</v>
      </c>
      <c r="I4204" s="1">
        <f t="shared" si="131"/>
        <v>679.88</v>
      </c>
    </row>
    <row r="4205" spans="1:9" x14ac:dyDescent="0.2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 s="1">
        <f t="shared" si="130"/>
        <v>209.89000000000001</v>
      </c>
      <c r="H4205" s="1" t="str">
        <f>_xlfn.XLOOKUP(C4205,Product!A:A,Product!B:B,"not found",0)</f>
        <v>Trek Precaliber 16 Girls - 2017</v>
      </c>
      <c r="I4205" s="1">
        <f t="shared" si="131"/>
        <v>209.89000000000001</v>
      </c>
    </row>
    <row r="4206" spans="1:9" x14ac:dyDescent="0.2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 s="1">
        <f t="shared" si="130"/>
        <v>3797.8</v>
      </c>
      <c r="H4206" s="1" t="str">
        <f>_xlfn.XLOOKUP(C4206,Product!A:A,Product!B:B,"not found",0)</f>
        <v>Surly ECR 27.5 - 2018</v>
      </c>
      <c r="I4206" s="1">
        <f t="shared" si="131"/>
        <v>3797.8</v>
      </c>
    </row>
    <row r="4207" spans="1:9" x14ac:dyDescent="0.2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 s="1">
        <f t="shared" si="130"/>
        <v>1279.8800000000001</v>
      </c>
      <c r="H4207" s="1" t="str">
        <f>_xlfn.XLOOKUP(C4207,Product!A:A,Product!B:B,"not found",0)</f>
        <v>Electra Moto 3i - 2018</v>
      </c>
      <c r="I4207" s="1">
        <f t="shared" si="131"/>
        <v>1279.8800000000001</v>
      </c>
    </row>
    <row r="4208" spans="1:9" x14ac:dyDescent="0.2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 s="1">
        <f t="shared" si="130"/>
        <v>875.92</v>
      </c>
      <c r="H4208" s="1" t="str">
        <f>_xlfn.XLOOKUP(C4208,Product!A:A,Product!B:B,"not found",0)</f>
        <v>Surly Steamroller - 2017</v>
      </c>
      <c r="I4208" s="1">
        <f t="shared" si="131"/>
        <v>875.92</v>
      </c>
    </row>
    <row r="4209" spans="1:9" x14ac:dyDescent="0.2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 s="1">
        <f t="shared" si="130"/>
        <v>1999.88</v>
      </c>
      <c r="H4209" s="1" t="str">
        <f>_xlfn.XLOOKUP(C4209,Product!A:A,Product!B:B,"not found",0)</f>
        <v>Trek Farley Carbon Frameset - 2018</v>
      </c>
      <c r="I4209" s="1">
        <f t="shared" si="131"/>
        <v>1999.88</v>
      </c>
    </row>
    <row r="4210" spans="1:9" x14ac:dyDescent="0.2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 s="1">
        <f t="shared" si="130"/>
        <v>319.94</v>
      </c>
      <c r="H4210" s="1" t="str">
        <f>_xlfn.XLOOKUP(C4210,Product!A:A,Product!B:B,"not found",0)</f>
        <v>Electra Cruiser 7D (24-Inch) Ladies' - 2016/2018</v>
      </c>
      <c r="I4210" s="1">
        <f t="shared" si="131"/>
        <v>319.94</v>
      </c>
    </row>
    <row r="4211" spans="1:9" x14ac:dyDescent="0.2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 s="1">
        <f t="shared" si="130"/>
        <v>1279.93</v>
      </c>
      <c r="H4211" s="1" t="str">
        <f>_xlfn.XLOOKUP(C4211,Product!A:A,Product!B:B,"not found",0)</f>
        <v>Electra Cruiser Lux Fat Tire 7D - 2018</v>
      </c>
      <c r="I4211" s="1">
        <f t="shared" si="131"/>
        <v>1279.93</v>
      </c>
    </row>
    <row r="4212" spans="1:9" x14ac:dyDescent="0.2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 s="1">
        <f t="shared" si="130"/>
        <v>1799.93</v>
      </c>
      <c r="H4212" s="1" t="str">
        <f>_xlfn.XLOOKUP(C4212,Product!A:A,Product!B:B,"not found",0)</f>
        <v>Electra Daydreamer 3i Ladies' - 2018</v>
      </c>
      <c r="I4212" s="1">
        <f t="shared" si="131"/>
        <v>1799.93</v>
      </c>
    </row>
    <row r="4213" spans="1:9" x14ac:dyDescent="0.2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 s="1">
        <f t="shared" si="130"/>
        <v>5499.79</v>
      </c>
      <c r="H4213" s="1" t="str">
        <f>_xlfn.XLOOKUP(C4213,Product!A:A,Product!B:B,"not found",0)</f>
        <v>Trek Domane SL 8 Disc - 2018</v>
      </c>
      <c r="I4213" s="1">
        <f t="shared" si="131"/>
        <v>5499.79</v>
      </c>
    </row>
    <row r="4214" spans="1:9" x14ac:dyDescent="0.2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 s="1">
        <f t="shared" si="130"/>
        <v>749.89</v>
      </c>
      <c r="H4214" s="1" t="str">
        <f>_xlfn.XLOOKUP(C4214,Product!A:A,Product!B:B,"not found",0)</f>
        <v>Electra Townie Balloon 8D EQ Ladies' - 2016/2017/2018</v>
      </c>
      <c r="I4214" s="1">
        <f t="shared" si="131"/>
        <v>749.89</v>
      </c>
    </row>
    <row r="4215" spans="1:9" x14ac:dyDescent="0.2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 s="1">
        <f t="shared" si="130"/>
        <v>2299.9199999999996</v>
      </c>
      <c r="H4215" s="1" t="str">
        <f>_xlfn.XLOOKUP(C4215,Product!A:A,Product!B:B,"not found",0)</f>
        <v>Trek Emonda ALR 6 - 2018</v>
      </c>
      <c r="I4215" s="1">
        <f t="shared" si="131"/>
        <v>2299.9199999999996</v>
      </c>
    </row>
    <row r="4216" spans="1:9" x14ac:dyDescent="0.2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 s="1">
        <f t="shared" si="130"/>
        <v>2699.79</v>
      </c>
      <c r="H4216" s="1" t="str">
        <f>_xlfn.XLOOKUP(C4216,Product!A:A,Product!B:B,"not found",0)</f>
        <v>Trek Domane S 6 - 2017</v>
      </c>
      <c r="I4216" s="1">
        <f t="shared" si="131"/>
        <v>2699.79</v>
      </c>
    </row>
    <row r="4217" spans="1:9" x14ac:dyDescent="0.2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 s="1">
        <f t="shared" si="130"/>
        <v>1599.91</v>
      </c>
      <c r="H4217" s="1" t="str">
        <f>_xlfn.XLOOKUP(C4217,Product!A:A,Product!B:B,"not found",0)</f>
        <v>Electra Townie Balloon 3i EQ Ladies' - 2018</v>
      </c>
      <c r="I4217" s="1">
        <f t="shared" si="131"/>
        <v>1599.91</v>
      </c>
    </row>
    <row r="4218" spans="1:9" x14ac:dyDescent="0.2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 s="1">
        <f t="shared" si="130"/>
        <v>5999.9299999999994</v>
      </c>
      <c r="H4218" s="1" t="str">
        <f>_xlfn.XLOOKUP(C4218,Product!A:A,Product!B:B,"not found",0)</f>
        <v>Electra Townie Commute Go! Ladies' - 2018</v>
      </c>
      <c r="I4218" s="1">
        <f t="shared" si="131"/>
        <v>5999.9299999999994</v>
      </c>
    </row>
    <row r="4219" spans="1:9" x14ac:dyDescent="0.2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 s="1">
        <f t="shared" si="130"/>
        <v>539.88</v>
      </c>
      <c r="H4219" s="1" t="str">
        <f>_xlfn.XLOOKUP(C4219,Product!A:A,Product!B:B,"not found",0)</f>
        <v>Electra Girl's Hawaii 1 (16-inch) - 2015/2016</v>
      </c>
      <c r="I4219" s="1">
        <f t="shared" si="131"/>
        <v>539.88</v>
      </c>
    </row>
    <row r="4220" spans="1:9" x14ac:dyDescent="0.2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 s="1">
        <f t="shared" si="130"/>
        <v>489.92</v>
      </c>
      <c r="H4220" s="1" t="str">
        <f>_xlfn.XLOOKUP(C4220,Product!A:A,Product!B:B,"not found",0)</f>
        <v>Electra Straight 8 3i (20-inch) - Boy's - 2017</v>
      </c>
      <c r="I4220" s="1">
        <f t="shared" si="131"/>
        <v>489.92</v>
      </c>
    </row>
    <row r="4221" spans="1:9" x14ac:dyDescent="0.2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 s="1">
        <f t="shared" si="130"/>
        <v>6399.8799999999992</v>
      </c>
      <c r="H4221" s="1" t="str">
        <f>_xlfn.XLOOKUP(C4221,Product!A:A,Product!B:B,"not found",0)</f>
        <v>Trek Domane ALR Frameset - 2018</v>
      </c>
      <c r="I4221" s="1">
        <f t="shared" si="131"/>
        <v>6399.8799999999992</v>
      </c>
    </row>
    <row r="4222" spans="1:9" x14ac:dyDescent="0.2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 s="1">
        <f t="shared" si="130"/>
        <v>559.79</v>
      </c>
      <c r="H4222" s="1" t="str">
        <f>_xlfn.XLOOKUP(C4222,Product!A:A,Product!B:B,"not found",0)</f>
        <v>Electra Townie Original 21D - 2018</v>
      </c>
      <c r="I4222" s="1">
        <f t="shared" si="131"/>
        <v>559.79</v>
      </c>
    </row>
    <row r="4223" spans="1:9" x14ac:dyDescent="0.2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 s="1">
        <f t="shared" si="130"/>
        <v>5999.8799999999992</v>
      </c>
      <c r="H4223" s="1" t="str">
        <f>_xlfn.XLOOKUP(C4223,Product!A:A,Product!B:B,"not found",0)</f>
        <v>Trek Crockett 7 Disc - 2018</v>
      </c>
      <c r="I4223" s="1">
        <f t="shared" si="131"/>
        <v>5999.8799999999992</v>
      </c>
    </row>
    <row r="4224" spans="1:9" x14ac:dyDescent="0.2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 s="1">
        <f t="shared" si="130"/>
        <v>1799.93</v>
      </c>
      <c r="H4224" s="1" t="str">
        <f>_xlfn.XLOOKUP(C4224,Product!A:A,Product!B:B,"not found",0)</f>
        <v>Electra Koa 3i Ladies' - 2018</v>
      </c>
      <c r="I4224" s="1">
        <f t="shared" si="131"/>
        <v>1799.93</v>
      </c>
    </row>
    <row r="4225" spans="1:9" x14ac:dyDescent="0.2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 s="1">
        <f t="shared" si="130"/>
        <v>1469.94</v>
      </c>
      <c r="H4225" s="1" t="str">
        <f>_xlfn.XLOOKUP(C4225,Product!A:A,Product!B:B,"not found",0)</f>
        <v>Trek Ticket S Frame - 2018</v>
      </c>
      <c r="I4225" s="1">
        <f t="shared" si="131"/>
        <v>1469.94</v>
      </c>
    </row>
    <row r="4226" spans="1:9" x14ac:dyDescent="0.2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 s="1">
        <f t="shared" si="130"/>
        <v>599.88</v>
      </c>
      <c r="H4226" s="1" t="str">
        <f>_xlfn.XLOOKUP(C4226,Product!A:A,Product!B:B,"not found",0)</f>
        <v>Electra Sugar Skulls 1 (20-inch) - Girl's - 2017</v>
      </c>
      <c r="I4226" s="1">
        <f t="shared" si="131"/>
        <v>599.88</v>
      </c>
    </row>
    <row r="4227" spans="1:9" x14ac:dyDescent="0.2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 s="1">
        <f t="shared" ref="G4227:G4290" si="132">(E4227*D4227)-F4227</f>
        <v>899.79</v>
      </c>
      <c r="H4227" s="1" t="str">
        <f>_xlfn.XLOOKUP(C4227,Product!A:A,Product!B:B,"not found",0)</f>
        <v>Electra Daydreamer 3i Ladies' - 2018</v>
      </c>
      <c r="I4227" s="1">
        <f t="shared" ref="I4227:I4290" si="133">(D4227*E4227)-F4227</f>
        <v>899.79</v>
      </c>
    </row>
    <row r="4228" spans="1:9" x14ac:dyDescent="0.2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 s="1">
        <f t="shared" si="132"/>
        <v>299.93</v>
      </c>
      <c r="H4228" s="1" t="str">
        <f>_xlfn.XLOOKUP(C4228,Product!A:A,Product!B:B,"not found",0)</f>
        <v>Trek Girl's Kickster - 2017</v>
      </c>
      <c r="I4228" s="1">
        <f t="shared" si="133"/>
        <v>299.93</v>
      </c>
    </row>
    <row r="4229" spans="1:9" x14ac:dyDescent="0.2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 s="1">
        <f t="shared" si="132"/>
        <v>833.91</v>
      </c>
      <c r="H4229" s="1" t="str">
        <f>_xlfn.XLOOKUP(C4229,Product!A:A,Product!B:B,"not found",0)</f>
        <v>Sun Bicycles Cruz 7 - Women's - 2017</v>
      </c>
      <c r="I4229" s="1">
        <f t="shared" si="133"/>
        <v>833.91</v>
      </c>
    </row>
    <row r="4230" spans="1:9" x14ac:dyDescent="0.2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 s="1">
        <f t="shared" si="132"/>
        <v>419.88</v>
      </c>
      <c r="H4230" s="1" t="str">
        <f>_xlfn.XLOOKUP(C4230,Product!A:A,Product!B:B,"not found",0)</f>
        <v>Trek Precaliber 16 Boys - 2017</v>
      </c>
      <c r="I4230" s="1">
        <f t="shared" si="133"/>
        <v>419.88</v>
      </c>
    </row>
    <row r="4231" spans="1:9" x14ac:dyDescent="0.2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 s="1">
        <f t="shared" si="132"/>
        <v>319.92</v>
      </c>
      <c r="H4231" s="1" t="str">
        <f>_xlfn.XLOOKUP(C4231,Product!A:A,Product!B:B,"not found",0)</f>
        <v>Electra Heartchya 1 (20-inch) - Girl's - 2018</v>
      </c>
      <c r="I4231" s="1">
        <f t="shared" si="133"/>
        <v>319.92</v>
      </c>
    </row>
    <row r="4232" spans="1:9" x14ac:dyDescent="0.2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 s="1">
        <f t="shared" si="132"/>
        <v>1665.88</v>
      </c>
      <c r="H4232" s="1" t="str">
        <f>_xlfn.XLOOKUP(C4232,Product!A:A,Product!B:B,"not found",0)</f>
        <v>Sun Bicycles Spider 3i - 2017</v>
      </c>
      <c r="I4232" s="1">
        <f t="shared" si="133"/>
        <v>1665.88</v>
      </c>
    </row>
    <row r="4233" spans="1:9" x14ac:dyDescent="0.2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 s="1">
        <f t="shared" si="132"/>
        <v>1498.8</v>
      </c>
      <c r="H4233" s="1" t="str">
        <f>_xlfn.XLOOKUP(C4233,Product!A:A,Product!B:B,"not found",0)</f>
        <v>Surly Krampus - 2018</v>
      </c>
      <c r="I4233" s="1">
        <f t="shared" si="133"/>
        <v>1498.8</v>
      </c>
    </row>
    <row r="4234" spans="1:9" x14ac:dyDescent="0.2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 s="1">
        <f t="shared" si="132"/>
        <v>1099.93</v>
      </c>
      <c r="H4234" s="1" t="str">
        <f>_xlfn.XLOOKUP(C4234,Product!A:A,Product!B:B,"not found",0)</f>
        <v>Haro Flightline Two 26 Plus - 2017</v>
      </c>
      <c r="I4234" s="1">
        <f t="shared" si="133"/>
        <v>1099.93</v>
      </c>
    </row>
    <row r="4235" spans="1:9" x14ac:dyDescent="0.2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 s="1">
        <f t="shared" si="132"/>
        <v>679.93000000000006</v>
      </c>
      <c r="H4235" s="1" t="str">
        <f>_xlfn.XLOOKUP(C4235,Product!A:A,Product!B:B,"not found",0)</f>
        <v>Electra Townie 7D (20-inch) - Boys' - 2017</v>
      </c>
      <c r="I4235" s="1">
        <f t="shared" si="133"/>
        <v>679.93000000000006</v>
      </c>
    </row>
    <row r="4236" spans="1:9" x14ac:dyDescent="0.2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 s="1">
        <f t="shared" si="132"/>
        <v>749.79</v>
      </c>
      <c r="H4236" s="1" t="str">
        <f>_xlfn.XLOOKUP(C4236,Product!A:A,Product!B:B,"not found",0)</f>
        <v>Electra Townie Balloon 3i EQ - 2017/2018</v>
      </c>
      <c r="I4236" s="1">
        <f t="shared" si="133"/>
        <v>749.79</v>
      </c>
    </row>
    <row r="4237" spans="1:9" x14ac:dyDescent="0.2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 s="1">
        <f t="shared" si="132"/>
        <v>5599.9299999999994</v>
      </c>
      <c r="H4237" s="1" t="str">
        <f>_xlfn.XLOOKUP(C4237,Product!A:A,Product!B:B,"not found",0)</f>
        <v>Trek Lift+ - 2018</v>
      </c>
      <c r="I4237" s="1">
        <f t="shared" si="133"/>
        <v>5599.9299999999994</v>
      </c>
    </row>
    <row r="4238" spans="1:9" x14ac:dyDescent="0.2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 s="1">
        <f t="shared" si="132"/>
        <v>639.91999999999996</v>
      </c>
      <c r="H4238" s="1" t="str">
        <f>_xlfn.XLOOKUP(C4238,Product!A:A,Product!B:B,"not found",0)</f>
        <v>Electra Townie Original 3i EQ Ladies' - 2018</v>
      </c>
      <c r="I4238" s="1">
        <f t="shared" si="133"/>
        <v>639.91999999999996</v>
      </c>
    </row>
    <row r="4239" spans="1:9" x14ac:dyDescent="0.2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 s="1">
        <f t="shared" si="132"/>
        <v>319.88</v>
      </c>
      <c r="H4239" s="1" t="str">
        <f>_xlfn.XLOOKUP(C4239,Product!A:A,Product!B:B,"not found",0)</f>
        <v>Trek Kickster - 2018</v>
      </c>
      <c r="I4239" s="1">
        <f t="shared" si="133"/>
        <v>319.88</v>
      </c>
    </row>
    <row r="4240" spans="1:9" x14ac:dyDescent="0.2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 s="1">
        <f t="shared" si="132"/>
        <v>289.89</v>
      </c>
      <c r="H4240" s="1" t="str">
        <f>_xlfn.XLOOKUP(C4240,Product!A:A,Product!B:B,"not found",0)</f>
        <v>Trek Precaliber 20 6-speed Boy's - 2018</v>
      </c>
      <c r="I4240" s="1">
        <f t="shared" si="133"/>
        <v>289.89</v>
      </c>
    </row>
    <row r="4241" spans="1:9" x14ac:dyDescent="0.2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 s="1">
        <f t="shared" si="132"/>
        <v>469.89</v>
      </c>
      <c r="H4241" s="1" t="str">
        <f>_xlfn.XLOOKUP(C4241,Product!A:A,Product!B:B,"not found",0)</f>
        <v>Surly Big Fat Dummy Frameset - 2018</v>
      </c>
      <c r="I4241" s="1">
        <f t="shared" si="133"/>
        <v>469.89</v>
      </c>
    </row>
    <row r="4242" spans="1:9" x14ac:dyDescent="0.2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 s="1">
        <f t="shared" si="132"/>
        <v>489.92</v>
      </c>
      <c r="H4242" s="1" t="str">
        <f>_xlfn.XLOOKUP(C4242,Product!A:A,Product!B:B,"not found",0)</f>
        <v>Trek Marlin 5 - 2018</v>
      </c>
      <c r="I4242" s="1">
        <f t="shared" si="133"/>
        <v>489.92</v>
      </c>
    </row>
    <row r="4243" spans="1:9" x14ac:dyDescent="0.2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 s="1">
        <f t="shared" si="132"/>
        <v>470.79</v>
      </c>
      <c r="H4243" s="1" t="str">
        <f>_xlfn.XLOOKUP(C4243,Product!A:A,Product!B:B,"not found",0)</f>
        <v>Sun Bicycles Drifter 7 - Women's - 2017</v>
      </c>
      <c r="I4243" s="1">
        <f t="shared" si="133"/>
        <v>470.79</v>
      </c>
    </row>
    <row r="4244" spans="1:9" x14ac:dyDescent="0.2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 s="1">
        <f t="shared" si="132"/>
        <v>159.79000000000002</v>
      </c>
      <c r="H4244" s="1" t="str">
        <f>_xlfn.XLOOKUP(C4244,Product!A:A,Product!B:B,"not found",0)</f>
        <v>Trek Kickster - 2018</v>
      </c>
      <c r="I4244" s="1">
        <f t="shared" si="133"/>
        <v>159.79000000000002</v>
      </c>
    </row>
    <row r="4245" spans="1:9" x14ac:dyDescent="0.2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 s="1">
        <f t="shared" si="132"/>
        <v>4999.78</v>
      </c>
      <c r="H4245" s="1" t="str">
        <f>_xlfn.XLOOKUP(C4245,Product!A:A,Product!B:B,"not found",0)</f>
        <v>Trek Domane SL 5 Disc Women's - 2018</v>
      </c>
      <c r="I4245" s="1">
        <f t="shared" si="133"/>
        <v>4999.78</v>
      </c>
    </row>
    <row r="4246" spans="1:9" x14ac:dyDescent="0.2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 s="1">
        <f t="shared" si="132"/>
        <v>639.93000000000006</v>
      </c>
      <c r="H4246" s="1" t="str">
        <f>_xlfn.XLOOKUP(C4246,Product!A:A,Product!B:B,"not found",0)</f>
        <v>Electra Treasure 1 20" - 2018</v>
      </c>
      <c r="I4246" s="1">
        <f t="shared" si="133"/>
        <v>639.93000000000006</v>
      </c>
    </row>
    <row r="4247" spans="1:9" x14ac:dyDescent="0.2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 s="1">
        <f t="shared" si="132"/>
        <v>533.94000000000005</v>
      </c>
      <c r="H4247" s="1" t="str">
        <f>_xlfn.XLOOKUP(C4247,Product!A:A,Product!B:B,"not found",0)</f>
        <v>Sun Bicycles Streamway 7 - 2017</v>
      </c>
      <c r="I4247" s="1">
        <f t="shared" si="133"/>
        <v>533.94000000000005</v>
      </c>
    </row>
    <row r="4248" spans="1:9" x14ac:dyDescent="0.2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 s="1">
        <f t="shared" si="132"/>
        <v>549.94000000000005</v>
      </c>
      <c r="H4248" s="1" t="str">
        <f>_xlfn.XLOOKUP(C4248,Product!A:A,Product!B:B,"not found",0)</f>
        <v>Electra Townie Original 21D - 2016</v>
      </c>
      <c r="I4248" s="1">
        <f t="shared" si="133"/>
        <v>549.94000000000005</v>
      </c>
    </row>
    <row r="4249" spans="1:9" x14ac:dyDescent="0.2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 s="1">
        <f t="shared" si="132"/>
        <v>1295.8800000000001</v>
      </c>
      <c r="H4249" s="1" t="str">
        <f>_xlfn.XLOOKUP(C4249,Product!A:A,Product!B:B,"not found",0)</f>
        <v>Sun Bicycles Biscayne Tandem CB - 2017</v>
      </c>
      <c r="I4249" s="1">
        <f t="shared" si="133"/>
        <v>1295.8800000000001</v>
      </c>
    </row>
    <row r="4250" spans="1:9" x14ac:dyDescent="0.2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 s="1">
        <f t="shared" si="132"/>
        <v>1259.8000000000002</v>
      </c>
      <c r="H4250" s="1" t="str">
        <f>_xlfn.XLOOKUP(C4250,Product!A:A,Product!B:B,"not found",0)</f>
        <v>Electra Amsterdam Royal 8i - 2017/2018</v>
      </c>
      <c r="I4250" s="1">
        <f t="shared" si="133"/>
        <v>1259.8000000000002</v>
      </c>
    </row>
    <row r="4251" spans="1:9" x14ac:dyDescent="0.2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 s="1">
        <f t="shared" si="132"/>
        <v>4499.9399999999996</v>
      </c>
      <c r="H4251" s="1" t="str">
        <f>_xlfn.XLOOKUP(C4251,Product!A:A,Product!B:B,"not found",0)</f>
        <v>Trek Powerfly 5 FS - 2018</v>
      </c>
      <c r="I4251" s="1">
        <f t="shared" si="133"/>
        <v>4499.9399999999996</v>
      </c>
    </row>
    <row r="4252" spans="1:9" x14ac:dyDescent="0.2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 s="1">
        <f t="shared" si="132"/>
        <v>299.92</v>
      </c>
      <c r="H4252" s="1" t="str">
        <f>_xlfn.XLOOKUP(C4252,Product!A:A,Product!B:B,"not found",0)</f>
        <v>Electra Girl's Hawaii 1 16" - 2017</v>
      </c>
      <c r="I4252" s="1">
        <f t="shared" si="133"/>
        <v>299.92</v>
      </c>
    </row>
    <row r="4253" spans="1:9" x14ac:dyDescent="0.2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 s="1">
        <f t="shared" si="132"/>
        <v>749.94</v>
      </c>
      <c r="H4253" s="1" t="str">
        <f>_xlfn.XLOOKUP(C4253,Product!A:A,Product!B:B,"not found",0)</f>
        <v>Surly ECR Frameset - 2018</v>
      </c>
      <c r="I4253" s="1">
        <f t="shared" si="133"/>
        <v>749.94</v>
      </c>
    </row>
    <row r="4254" spans="1:9" x14ac:dyDescent="0.2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 s="1">
        <f t="shared" si="132"/>
        <v>7999.91</v>
      </c>
      <c r="H4254" s="1" t="str">
        <f>_xlfn.XLOOKUP(C4254,Product!A:A,Product!B:B,"not found",0)</f>
        <v>Trek Slash 8 27.5 - 2016</v>
      </c>
      <c r="I4254" s="1">
        <f t="shared" si="133"/>
        <v>7999.91</v>
      </c>
    </row>
    <row r="4255" spans="1:9" x14ac:dyDescent="0.2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 s="1">
        <f t="shared" si="132"/>
        <v>1999.91</v>
      </c>
      <c r="H4255" s="1" t="str">
        <f>_xlfn.XLOOKUP(C4255,Product!A:A,Product!B:B,"not found",0)</f>
        <v>Trek Farley Carbon Frameset - 2018</v>
      </c>
      <c r="I4255" s="1">
        <f t="shared" si="133"/>
        <v>1999.91</v>
      </c>
    </row>
    <row r="4256" spans="1:9" x14ac:dyDescent="0.2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 s="1">
        <f t="shared" si="132"/>
        <v>1499.79</v>
      </c>
      <c r="H4256" s="1" t="str">
        <f>_xlfn.XLOOKUP(C4256,Product!A:A,Product!B:B,"not found",0)</f>
        <v>Trek Emonda S 4 - 2017</v>
      </c>
      <c r="I4256" s="1">
        <f t="shared" si="133"/>
        <v>1499.79</v>
      </c>
    </row>
    <row r="4257" spans="1:9" x14ac:dyDescent="0.2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 s="1">
        <f t="shared" si="132"/>
        <v>1399.78</v>
      </c>
      <c r="H4257" s="1" t="str">
        <f>_xlfn.XLOOKUP(C4257,Product!A:A,Product!B:B,"not found",0)</f>
        <v>Electra Townie Commute 8D Ladies' - 2018</v>
      </c>
      <c r="I4257" s="1">
        <f t="shared" si="133"/>
        <v>1399.78</v>
      </c>
    </row>
    <row r="4258" spans="1:9" x14ac:dyDescent="0.2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 s="1">
        <f t="shared" si="132"/>
        <v>89.789999999999992</v>
      </c>
      <c r="H4258" s="1" t="str">
        <f>_xlfn.XLOOKUP(C4258,Product!A:A,Product!B:B,"not found",0)</f>
        <v>Strider Classic 12 Balance Bike - 2018</v>
      </c>
      <c r="I4258" s="1">
        <f t="shared" si="133"/>
        <v>89.789999999999992</v>
      </c>
    </row>
    <row r="4259" spans="1:9" x14ac:dyDescent="0.2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 s="1">
        <f t="shared" si="132"/>
        <v>499.92</v>
      </c>
      <c r="H4259" s="1" t="str">
        <f>_xlfn.XLOOKUP(C4259,Product!A:A,Product!B:B,"not found",0)</f>
        <v>Electra Townie Original 7D - 2015/2016</v>
      </c>
      <c r="I4259" s="1">
        <f t="shared" si="133"/>
        <v>499.92</v>
      </c>
    </row>
    <row r="4260" spans="1:9" x14ac:dyDescent="0.2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 s="1">
        <f t="shared" si="132"/>
        <v>529.89</v>
      </c>
      <c r="H4260" s="1" t="str">
        <f>_xlfn.XLOOKUP(C4260,Product!A:A,Product!B:B,"not found",0)</f>
        <v>Electra Cruiser Lux 3i - 2018</v>
      </c>
      <c r="I4260" s="1">
        <f t="shared" si="133"/>
        <v>529.89</v>
      </c>
    </row>
    <row r="4261" spans="1:9" x14ac:dyDescent="0.2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 s="1">
        <f t="shared" si="132"/>
        <v>369.89</v>
      </c>
      <c r="H4261" s="1" t="str">
        <f>_xlfn.XLOOKUP(C4261,Product!A:A,Product!B:B,"not found",0)</f>
        <v>Electra Tiger Shark 3i (20-inch) - Boys' - 2018</v>
      </c>
      <c r="I4261" s="1">
        <f t="shared" si="133"/>
        <v>369.89</v>
      </c>
    </row>
    <row r="4262" spans="1:9" x14ac:dyDescent="0.2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 s="1">
        <f t="shared" si="132"/>
        <v>2999.9399999999996</v>
      </c>
      <c r="H4262" s="1" t="str">
        <f>_xlfn.XLOOKUP(C4262,Product!A:A,Product!B:B,"not found",0)</f>
        <v>Electra Townie Commute Go! - 2018</v>
      </c>
      <c r="I4262" s="1">
        <f t="shared" si="133"/>
        <v>2999.9399999999996</v>
      </c>
    </row>
    <row r="4263" spans="1:9" x14ac:dyDescent="0.2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 s="1">
        <f t="shared" si="132"/>
        <v>12999.93</v>
      </c>
      <c r="H4263" s="1" t="str">
        <f>_xlfn.XLOOKUP(C4263,Product!A:A,Product!B:B,"not found",0)</f>
        <v>Trek Silque SLR 8 Women's - 2017</v>
      </c>
      <c r="I4263" s="1">
        <f t="shared" si="133"/>
        <v>12999.93</v>
      </c>
    </row>
    <row r="4264" spans="1:9" x14ac:dyDescent="0.2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 s="1">
        <f t="shared" si="132"/>
        <v>1548.95</v>
      </c>
      <c r="H4264" s="1" t="str">
        <f>_xlfn.XLOOKUP(C4264,Product!A:A,Product!B:B,"not found",0)</f>
        <v>Surly Straggler - 2018</v>
      </c>
      <c r="I4264" s="1">
        <f t="shared" si="133"/>
        <v>1548.95</v>
      </c>
    </row>
    <row r="4265" spans="1:9" x14ac:dyDescent="0.2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 s="1">
        <f t="shared" si="132"/>
        <v>833.93000000000006</v>
      </c>
      <c r="H4265" s="1" t="str">
        <f>_xlfn.XLOOKUP(C4265,Product!A:A,Product!B:B,"not found",0)</f>
        <v>Sun Bicycles Cruz 7 - Women's - 2017</v>
      </c>
      <c r="I4265" s="1">
        <f t="shared" si="133"/>
        <v>833.93000000000006</v>
      </c>
    </row>
    <row r="4266" spans="1:9" x14ac:dyDescent="0.2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 s="1">
        <f t="shared" si="132"/>
        <v>1498.8</v>
      </c>
      <c r="H4266" s="1" t="str">
        <f>_xlfn.XLOOKUP(C4266,Product!A:A,Product!B:B,"not found",0)</f>
        <v>Surly Krampus - 2018</v>
      </c>
      <c r="I4266" s="1">
        <f t="shared" si="133"/>
        <v>1498.8</v>
      </c>
    </row>
    <row r="4267" spans="1:9" x14ac:dyDescent="0.2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 s="1">
        <f t="shared" si="132"/>
        <v>4999.78</v>
      </c>
      <c r="H4267" s="1" t="str">
        <f>_xlfn.XLOOKUP(C4267,Product!A:A,Product!B:B,"not found",0)</f>
        <v>Trek 1120 - 2018</v>
      </c>
      <c r="I4267" s="1">
        <f t="shared" si="133"/>
        <v>4999.78</v>
      </c>
    </row>
    <row r="4268" spans="1:9" x14ac:dyDescent="0.2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 s="1">
        <f t="shared" si="132"/>
        <v>3099.93</v>
      </c>
      <c r="H4268" s="1" t="str">
        <f>_xlfn.XLOOKUP(C4268,Product!A:A,Product!B:B,"not found",0)</f>
        <v>Trek Domane ALR 4 Disc Women's - 2018</v>
      </c>
      <c r="I4268" s="1">
        <f t="shared" si="133"/>
        <v>3099.93</v>
      </c>
    </row>
    <row r="4269" spans="1:9" x14ac:dyDescent="0.2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 s="1">
        <f t="shared" si="132"/>
        <v>1319.93</v>
      </c>
      <c r="H4269" s="1" t="str">
        <f>_xlfn.XLOOKUP(C4269,Product!A:A,Product!B:B,"not found",0)</f>
        <v>Electra Amsterdam Original 3i - 2015/2017</v>
      </c>
      <c r="I4269" s="1">
        <f t="shared" si="133"/>
        <v>1319.93</v>
      </c>
    </row>
    <row r="4270" spans="1:9" x14ac:dyDescent="0.2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 s="1">
        <f t="shared" si="132"/>
        <v>1799.91</v>
      </c>
      <c r="H4270" s="1" t="str">
        <f>_xlfn.XLOOKUP(C4270,Product!A:A,Product!B:B,"not found",0)</f>
        <v>Electra Townie Commute 27D Ladies - 2018</v>
      </c>
      <c r="I4270" s="1">
        <f t="shared" si="133"/>
        <v>1799.91</v>
      </c>
    </row>
    <row r="4271" spans="1:9" x14ac:dyDescent="0.2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 s="1">
        <f t="shared" si="132"/>
        <v>2999.9399999999996</v>
      </c>
      <c r="H4271" s="1" t="str">
        <f>_xlfn.XLOOKUP(C4271,Product!A:A,Product!B:B,"not found",0)</f>
        <v>Electra Townie Commute Go! - 2018</v>
      </c>
      <c r="I4271" s="1">
        <f t="shared" si="133"/>
        <v>2999.9399999999996</v>
      </c>
    </row>
    <row r="4272" spans="1:9" x14ac:dyDescent="0.2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 s="1">
        <f t="shared" si="132"/>
        <v>2697.8</v>
      </c>
      <c r="H4272" s="1" t="str">
        <f>_xlfn.XLOOKUP(C4272,Product!A:A,Product!B:B,"not found",0)</f>
        <v>Surly Pack Rat - 2018</v>
      </c>
      <c r="I4272" s="1">
        <f t="shared" si="133"/>
        <v>2697.8</v>
      </c>
    </row>
    <row r="4273" spans="1:9" x14ac:dyDescent="0.2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 s="1">
        <f t="shared" si="132"/>
        <v>2999.93</v>
      </c>
      <c r="H4273" s="1" t="str">
        <f>_xlfn.XLOOKUP(C4273,Product!A:A,Product!B:B,"not found",0)</f>
        <v>Trek Stache 5 - 2017</v>
      </c>
      <c r="I4273" s="1">
        <f t="shared" si="133"/>
        <v>2999.93</v>
      </c>
    </row>
    <row r="4274" spans="1:9" x14ac:dyDescent="0.2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 s="1">
        <f t="shared" si="132"/>
        <v>448.93</v>
      </c>
      <c r="H4274" s="1" t="str">
        <f>_xlfn.XLOOKUP(C4274,Product!A:A,Product!B:B,"not found",0)</f>
        <v>Pure Cycles Western 3-Speed - Women's - 2015/2016</v>
      </c>
      <c r="I4274" s="1">
        <f t="shared" si="133"/>
        <v>448.93</v>
      </c>
    </row>
    <row r="4275" spans="1:9" x14ac:dyDescent="0.2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 s="1">
        <f t="shared" si="132"/>
        <v>3199.79</v>
      </c>
      <c r="H4275" s="1" t="str">
        <f>_xlfn.XLOOKUP(C4275,Product!A:A,Product!B:B,"not found",0)</f>
        <v>Trek Fuel EX 8 29 - 2018</v>
      </c>
      <c r="I4275" s="1">
        <f t="shared" si="133"/>
        <v>3199.79</v>
      </c>
    </row>
    <row r="4276" spans="1:9" x14ac:dyDescent="0.2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 s="1">
        <f t="shared" si="132"/>
        <v>739.88</v>
      </c>
      <c r="H4276" s="1" t="str">
        <f>_xlfn.XLOOKUP(C4276,Product!A:A,Product!B:B,"not found",0)</f>
        <v>Trek Precaliber 24 21-speed Girl's - 2018</v>
      </c>
      <c r="I4276" s="1">
        <f t="shared" si="133"/>
        <v>739.88</v>
      </c>
    </row>
    <row r="4277" spans="1:9" x14ac:dyDescent="0.2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 s="1">
        <f t="shared" si="132"/>
        <v>199.94</v>
      </c>
      <c r="H4277" s="1" t="str">
        <f>_xlfn.XLOOKUP(C4277,Product!A:A,Product!B:B,"not found",0)</f>
        <v>Trek Precaliber 12 Boy's - 2018</v>
      </c>
      <c r="I4277" s="1">
        <f t="shared" si="133"/>
        <v>199.94</v>
      </c>
    </row>
    <row r="4278" spans="1:9" x14ac:dyDescent="0.2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 s="1">
        <f t="shared" si="132"/>
        <v>4999.92</v>
      </c>
      <c r="H4278" s="1" t="str">
        <f>_xlfn.XLOOKUP(C4278,Product!A:A,Product!B:B,"not found",0)</f>
        <v>Trek Madone 9.2 - 2017</v>
      </c>
      <c r="I4278" s="1">
        <f t="shared" si="133"/>
        <v>4999.92</v>
      </c>
    </row>
    <row r="4279" spans="1:9" x14ac:dyDescent="0.2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 s="1">
        <f t="shared" si="132"/>
        <v>11999.91</v>
      </c>
      <c r="H4279" s="1" t="str">
        <f>_xlfn.XLOOKUP(C4279,Product!A:A,Product!B:B,"not found",0)</f>
        <v>Trek Silque SLR 7 Women's - 2017</v>
      </c>
      <c r="I4279" s="1">
        <f t="shared" si="133"/>
        <v>11999.91</v>
      </c>
    </row>
    <row r="4280" spans="1:9" x14ac:dyDescent="0.2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 s="1">
        <f t="shared" si="132"/>
        <v>1599.78</v>
      </c>
      <c r="H4280" s="1" t="str">
        <f>_xlfn.XLOOKUP(C4280,Product!A:A,Product!B:B,"not found",0)</f>
        <v>Electra Glam Punk 3i Ladies' - 2017</v>
      </c>
      <c r="I4280" s="1">
        <f t="shared" si="133"/>
        <v>1599.78</v>
      </c>
    </row>
    <row r="4281" spans="1:9" x14ac:dyDescent="0.2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 s="1">
        <f t="shared" si="132"/>
        <v>1699.93</v>
      </c>
      <c r="H4281" s="1" t="str">
        <f>_xlfn.XLOOKUP(C4281,Product!A:A,Product!B:B,"not found",0)</f>
        <v>Electra Relic 3i - 2018</v>
      </c>
      <c r="I4281" s="1">
        <f t="shared" si="133"/>
        <v>1699.93</v>
      </c>
    </row>
    <row r="4282" spans="1:9" x14ac:dyDescent="0.2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 s="1">
        <f t="shared" si="132"/>
        <v>2499.9199999999996</v>
      </c>
      <c r="H4282" s="1" t="str">
        <f>_xlfn.XLOOKUP(C4282,Product!A:A,Product!B:B,"not found",0)</f>
        <v>Trek Domane SL 5 Disc - 2018</v>
      </c>
      <c r="I4282" s="1">
        <f t="shared" si="133"/>
        <v>2499.9199999999996</v>
      </c>
    </row>
    <row r="4283" spans="1:9" x14ac:dyDescent="0.2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 s="1">
        <f t="shared" si="132"/>
        <v>979.93000000000006</v>
      </c>
      <c r="H4283" s="1" t="str">
        <f>_xlfn.XLOOKUP(C4283,Product!A:A,Product!B:B,"not found",0)</f>
        <v>Electra Townie 3i EQ (20-inch) - Boys' - 2017</v>
      </c>
      <c r="I4283" s="1">
        <f t="shared" si="133"/>
        <v>979.93000000000006</v>
      </c>
    </row>
    <row r="4284" spans="1:9" x14ac:dyDescent="0.2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 s="1">
        <f t="shared" si="132"/>
        <v>941.88</v>
      </c>
      <c r="H4284" s="1" t="str">
        <f>_xlfn.XLOOKUP(C4284,Product!A:A,Product!B:B,"not found",0)</f>
        <v>Sun Bicycles Drifter 7 - 2017</v>
      </c>
      <c r="I4284" s="1">
        <f t="shared" si="133"/>
        <v>941.88</v>
      </c>
    </row>
    <row r="4285" spans="1:9" x14ac:dyDescent="0.2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 s="1">
        <f t="shared" si="132"/>
        <v>279.94</v>
      </c>
      <c r="H4285" s="1" t="str">
        <f>_xlfn.XLOOKUP(C4285,Product!A:A,Product!B:B,"not found",0)</f>
        <v>Electra Straight 8 1 (16-inch) - Boy's - 2018</v>
      </c>
      <c r="I4285" s="1">
        <f t="shared" si="133"/>
        <v>279.94</v>
      </c>
    </row>
    <row r="4286" spans="1:9" x14ac:dyDescent="0.2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 s="1">
        <f t="shared" si="132"/>
        <v>5999.9299999999994</v>
      </c>
      <c r="H4286" s="1" t="str">
        <f>_xlfn.XLOOKUP(C4286,Product!A:A,Product!B:B,"not found",0)</f>
        <v>Electra Townie Commute Go! Ladies' - 2018</v>
      </c>
      <c r="I4286" s="1">
        <f t="shared" si="133"/>
        <v>5999.9299999999994</v>
      </c>
    </row>
    <row r="4287" spans="1:9" x14ac:dyDescent="0.2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 s="1">
        <f t="shared" si="132"/>
        <v>5199.78</v>
      </c>
      <c r="H4287" s="1" t="str">
        <f>_xlfn.XLOOKUP(C4287,Product!A:A,Product!B:B,"not found",0)</f>
        <v>Trek Domane S 5 Disc - 2017</v>
      </c>
      <c r="I4287" s="1">
        <f t="shared" si="133"/>
        <v>5199.78</v>
      </c>
    </row>
    <row r="4288" spans="1:9" x14ac:dyDescent="0.2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 s="1">
        <f t="shared" si="132"/>
        <v>1799.92</v>
      </c>
      <c r="H4288" s="1" t="str">
        <f>_xlfn.XLOOKUP(C4288,Product!A:A,Product!B:B,"not found",0)</f>
        <v>Trek Procaliber 6 - 2018</v>
      </c>
      <c r="I4288" s="1">
        <f t="shared" si="133"/>
        <v>1799.92</v>
      </c>
    </row>
    <row r="4289" spans="1:9" x14ac:dyDescent="0.2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 s="1">
        <f t="shared" si="132"/>
        <v>109.78999999999999</v>
      </c>
      <c r="H4289" s="1" t="str">
        <f>_xlfn.XLOOKUP(C4289,Product!A:A,Product!B:B,"not found",0)</f>
        <v>Sun Bicycles Lil Kitt'n - 2017</v>
      </c>
      <c r="I4289" s="1">
        <f t="shared" si="133"/>
        <v>109.78999999999999</v>
      </c>
    </row>
    <row r="4290" spans="1:9" x14ac:dyDescent="0.2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 s="1">
        <f t="shared" si="132"/>
        <v>799.79</v>
      </c>
      <c r="H4290" s="1" t="str">
        <f>_xlfn.XLOOKUP(C4290,Product!A:A,Product!B:B,"not found",0)</f>
        <v>Electra Townie Balloon 3i EQ Ladies' - 2018</v>
      </c>
      <c r="I4290" s="1">
        <f t="shared" si="133"/>
        <v>799.79</v>
      </c>
    </row>
    <row r="4291" spans="1:9" x14ac:dyDescent="0.2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 s="1">
        <f t="shared" ref="G4291:G4354" si="134">(E4291*D4291)-F4291</f>
        <v>219.78</v>
      </c>
      <c r="H4291" s="1" t="str">
        <f>_xlfn.XLOOKUP(C4291,Product!A:A,Product!B:B,"not found",0)</f>
        <v>Sun Bicycles Lil Kitt'n - 2017</v>
      </c>
      <c r="I4291" s="1">
        <f t="shared" ref="I4291:I4354" si="135">(D4291*E4291)-F4291</f>
        <v>219.78</v>
      </c>
    </row>
    <row r="4292" spans="1:9" x14ac:dyDescent="0.2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 s="1">
        <f t="shared" si="134"/>
        <v>489.92</v>
      </c>
      <c r="H4292" s="1" t="str">
        <f>_xlfn.XLOOKUP(C4292,Product!A:A,Product!B:B,"not found",0)</f>
        <v>Electra Townie Original 7D - 2017</v>
      </c>
      <c r="I4292" s="1">
        <f t="shared" si="135"/>
        <v>489.92</v>
      </c>
    </row>
    <row r="4293" spans="1:9" x14ac:dyDescent="0.2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 s="1">
        <f t="shared" si="134"/>
        <v>899.79</v>
      </c>
      <c r="H4293" s="1" t="str">
        <f>_xlfn.XLOOKUP(C4293,Product!A:A,Product!B:B,"not found",0)</f>
        <v>Electra Townie Balloon 7i EQ - 2018</v>
      </c>
      <c r="I4293" s="1">
        <f t="shared" si="135"/>
        <v>899.79</v>
      </c>
    </row>
    <row r="4294" spans="1:9" x14ac:dyDescent="0.2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 s="1">
        <f t="shared" si="134"/>
        <v>999.94</v>
      </c>
      <c r="H4294" s="1" t="str">
        <f>_xlfn.XLOOKUP(C4294,Product!A:A,Product!B:B,"not found",0)</f>
        <v>Trek Farley Carbon Frameset - 2018</v>
      </c>
      <c r="I4294" s="1">
        <f t="shared" si="135"/>
        <v>999.94</v>
      </c>
    </row>
    <row r="4295" spans="1:9" x14ac:dyDescent="0.2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 s="1">
        <f t="shared" si="134"/>
        <v>1799.93</v>
      </c>
      <c r="H4295" s="1" t="str">
        <f>_xlfn.XLOOKUP(C4295,Product!A:A,Product!B:B,"not found",0)</f>
        <v>Electra Townie Balloon 7i EQ Ladies' - 2017/2018</v>
      </c>
      <c r="I4295" s="1">
        <f t="shared" si="135"/>
        <v>1799.93</v>
      </c>
    </row>
    <row r="4296" spans="1:9" x14ac:dyDescent="0.2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 s="1">
        <f t="shared" si="134"/>
        <v>1799.91</v>
      </c>
      <c r="H4296" s="1" t="str">
        <f>_xlfn.XLOOKUP(C4296,Product!A:A,Product!B:B,"not found",0)</f>
        <v>Electra Townie Balloon 7i EQ - 2018</v>
      </c>
      <c r="I4296" s="1">
        <f t="shared" si="135"/>
        <v>1799.91</v>
      </c>
    </row>
    <row r="4297" spans="1:9" x14ac:dyDescent="0.2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 s="1">
        <f t="shared" si="134"/>
        <v>3797.95</v>
      </c>
      <c r="H4297" s="1" t="str">
        <f>_xlfn.XLOOKUP(C4297,Product!A:A,Product!B:B,"not found",0)</f>
        <v>Surly ECR - 2018</v>
      </c>
      <c r="I4297" s="1">
        <f t="shared" si="135"/>
        <v>3797.95</v>
      </c>
    </row>
    <row r="4298" spans="1:9" x14ac:dyDescent="0.2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 s="1">
        <f t="shared" si="134"/>
        <v>1199.78</v>
      </c>
      <c r="H4298" s="1" t="str">
        <f>_xlfn.XLOOKUP(C4298,Product!A:A,Product!B:B,"not found",0)</f>
        <v>Electra Townie Original 7D EQ Ladies' - 2017/2018</v>
      </c>
      <c r="I4298" s="1">
        <f t="shared" si="135"/>
        <v>1199.78</v>
      </c>
    </row>
    <row r="4299" spans="1:9" x14ac:dyDescent="0.2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 s="1">
        <f t="shared" si="134"/>
        <v>6399.91</v>
      </c>
      <c r="H4299" s="1" t="str">
        <f>_xlfn.XLOOKUP(C4299,Product!A:A,Product!B:B,"not found",0)</f>
        <v>Trek Fuel EX 8 29 XT - 2018</v>
      </c>
      <c r="I4299" s="1">
        <f t="shared" si="135"/>
        <v>6399.91</v>
      </c>
    </row>
    <row r="4300" spans="1:9" x14ac:dyDescent="0.2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 s="1">
        <f t="shared" si="134"/>
        <v>699.91</v>
      </c>
      <c r="H4300" s="1" t="str">
        <f>_xlfn.XLOOKUP(C4300,Product!A:A,Product!B:B,"not found",0)</f>
        <v>Trek Precaliber 24 (21-Speed) - Girls - 2017</v>
      </c>
      <c r="I4300" s="1">
        <f t="shared" si="135"/>
        <v>699.91</v>
      </c>
    </row>
    <row r="4301" spans="1:9" x14ac:dyDescent="0.2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 s="1">
        <f t="shared" si="134"/>
        <v>5299.92</v>
      </c>
      <c r="H4301" s="1" t="str">
        <f>_xlfn.XLOOKUP(C4301,Product!A:A,Product!B:B,"not found",0)</f>
        <v>Trek Fuel EX 9.8 27.5 Plus - 2017</v>
      </c>
      <c r="I4301" s="1">
        <f t="shared" si="135"/>
        <v>5299.92</v>
      </c>
    </row>
    <row r="4302" spans="1:9" x14ac:dyDescent="0.2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 s="1">
        <f t="shared" si="134"/>
        <v>2799.89</v>
      </c>
      <c r="H4302" s="1" t="str">
        <f>_xlfn.XLOOKUP(C4302,Product!A:A,Product!B:B,"not found",0)</f>
        <v>Electra Loft Go! 8i - 2018</v>
      </c>
      <c r="I4302" s="1">
        <f t="shared" si="135"/>
        <v>2799.89</v>
      </c>
    </row>
    <row r="4303" spans="1:9" x14ac:dyDescent="0.2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 s="1">
        <f t="shared" si="134"/>
        <v>579.88</v>
      </c>
      <c r="H4303" s="1" t="str">
        <f>_xlfn.XLOOKUP(C4303,Product!A:A,Product!B:B,"not found",0)</f>
        <v>Strider Strider 20 Sport - 2018</v>
      </c>
      <c r="I4303" s="1">
        <f t="shared" si="135"/>
        <v>579.88</v>
      </c>
    </row>
    <row r="4304" spans="1:9" x14ac:dyDescent="0.2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 s="1">
        <f t="shared" si="134"/>
        <v>3097.8</v>
      </c>
      <c r="H4304" s="1" t="str">
        <f>_xlfn.XLOOKUP(C4304,Product!A:A,Product!B:B,"not found",0)</f>
        <v>Surly Straggler - 2018</v>
      </c>
      <c r="I4304" s="1">
        <f t="shared" si="135"/>
        <v>3097.8</v>
      </c>
    </row>
    <row r="4305" spans="1:9" x14ac:dyDescent="0.2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 s="1">
        <f t="shared" si="134"/>
        <v>979.88</v>
      </c>
      <c r="H4305" s="1" t="str">
        <f>_xlfn.XLOOKUP(C4305,Product!A:A,Product!B:B,"not found",0)</f>
        <v>Electra Townie 3i EQ (20-inch) - Boys' - 2017</v>
      </c>
      <c r="I4305" s="1">
        <f t="shared" si="135"/>
        <v>979.88</v>
      </c>
    </row>
    <row r="4306" spans="1:9" x14ac:dyDescent="0.2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 s="1">
        <f t="shared" si="134"/>
        <v>999.79</v>
      </c>
      <c r="H4306" s="1" t="str">
        <f>_xlfn.XLOOKUP(C4306,Product!A:A,Product!B:B,"not found",0)</f>
        <v>Trek Farley Carbon Frameset - 2018</v>
      </c>
      <c r="I4306" s="1">
        <f t="shared" si="135"/>
        <v>999.79</v>
      </c>
    </row>
    <row r="4307" spans="1:9" x14ac:dyDescent="0.2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 s="1">
        <f t="shared" si="134"/>
        <v>2999.9399999999996</v>
      </c>
      <c r="H4307" s="1" t="str">
        <f>_xlfn.XLOOKUP(C4307,Product!A:A,Product!B:B,"not found",0)</f>
        <v>Electra Townie Commute Go! Ladies' - 2018</v>
      </c>
      <c r="I4307" s="1">
        <f t="shared" si="135"/>
        <v>2999.9399999999996</v>
      </c>
    </row>
    <row r="4308" spans="1:9" x14ac:dyDescent="0.2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 s="1">
        <f t="shared" si="134"/>
        <v>899.89</v>
      </c>
      <c r="H4308" s="1" t="str">
        <f>_xlfn.XLOOKUP(C4308,Product!A:A,Product!B:B,"not found",0)</f>
        <v>Electra Townie Commute 27D - 2018</v>
      </c>
      <c r="I4308" s="1">
        <f t="shared" si="135"/>
        <v>899.89</v>
      </c>
    </row>
    <row r="4309" spans="1:9" x14ac:dyDescent="0.2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 s="1">
        <f t="shared" si="134"/>
        <v>1499.88</v>
      </c>
      <c r="H4309" s="1" t="str">
        <f>_xlfn.XLOOKUP(C4309,Product!A:A,Product!B:B,"not found",0)</f>
        <v>Electra Townie Balloon 8D EQ Ladies' - 2016/2017/2018</v>
      </c>
      <c r="I4309" s="1">
        <f t="shared" si="135"/>
        <v>1499.88</v>
      </c>
    </row>
    <row r="4310" spans="1:9" x14ac:dyDescent="0.2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 s="1">
        <f t="shared" si="134"/>
        <v>1319.88</v>
      </c>
      <c r="H4310" s="1" t="str">
        <f>_xlfn.XLOOKUP(C4310,Product!A:A,Product!B:B,"not found",0)</f>
        <v>Electra Amsterdam Original 3i Ladies' - 2017</v>
      </c>
      <c r="I4310" s="1">
        <f t="shared" si="135"/>
        <v>1319.88</v>
      </c>
    </row>
    <row r="4311" spans="1:9" x14ac:dyDescent="0.2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 s="1">
        <f t="shared" si="134"/>
        <v>419.91</v>
      </c>
      <c r="H4311" s="1" t="str">
        <f>_xlfn.XLOOKUP(C4311,Product!A:A,Product!B:B,"not found",0)</f>
        <v>Haro Shredder 20 - 2017</v>
      </c>
      <c r="I4311" s="1">
        <f t="shared" si="135"/>
        <v>419.91</v>
      </c>
    </row>
    <row r="4312" spans="1:9" x14ac:dyDescent="0.2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 s="1">
        <f t="shared" si="134"/>
        <v>1919.91</v>
      </c>
      <c r="H4312" s="1" t="str">
        <f>_xlfn.XLOOKUP(C4312,Product!A:A,Product!B:B,"not found",0)</f>
        <v>Electra Delivery 3i - 2016/2017/2018</v>
      </c>
      <c r="I4312" s="1">
        <f t="shared" si="135"/>
        <v>1919.91</v>
      </c>
    </row>
    <row r="4313" spans="1:9" x14ac:dyDescent="0.2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 s="1">
        <f t="shared" si="134"/>
        <v>1499.91</v>
      </c>
      <c r="H4313" s="1" t="str">
        <f>_xlfn.XLOOKUP(C4313,Product!A:A,Product!B:B,"not found",0)</f>
        <v>Surly Ogre Frameset - 2017</v>
      </c>
      <c r="I4313" s="1">
        <f t="shared" si="135"/>
        <v>1499.91</v>
      </c>
    </row>
    <row r="4314" spans="1:9" x14ac:dyDescent="0.2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 s="1">
        <f t="shared" si="134"/>
        <v>919.89</v>
      </c>
      <c r="H4314" s="1" t="str">
        <f>_xlfn.XLOOKUP(C4314,Product!A:A,Product!B:B,"not found",0)</f>
        <v>Trek Stache Carbon Frameset - 2018</v>
      </c>
      <c r="I4314" s="1">
        <f t="shared" si="135"/>
        <v>919.89</v>
      </c>
    </row>
    <row r="4315" spans="1:9" x14ac:dyDescent="0.2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 s="1">
        <f t="shared" si="134"/>
        <v>1499.89</v>
      </c>
      <c r="H4315" s="1" t="str">
        <f>_xlfn.XLOOKUP(C4315,Product!A:A,Product!B:B,"not found",0)</f>
        <v>Trek Emonda S 4 - 2017</v>
      </c>
      <c r="I4315" s="1">
        <f t="shared" si="135"/>
        <v>1499.89</v>
      </c>
    </row>
    <row r="4316" spans="1:9" x14ac:dyDescent="0.2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 s="1">
        <f t="shared" si="134"/>
        <v>489.94</v>
      </c>
      <c r="H4316" s="1" t="str">
        <f>_xlfn.XLOOKUP(C4316,Product!A:A,Product!B:B,"not found",0)</f>
        <v>Trek Marlin 5 - 2018</v>
      </c>
      <c r="I4316" s="1">
        <f t="shared" si="135"/>
        <v>489.94</v>
      </c>
    </row>
    <row r="4317" spans="1:9" x14ac:dyDescent="0.2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 s="1">
        <f t="shared" si="134"/>
        <v>9999.91</v>
      </c>
      <c r="H4317" s="1" t="str">
        <f>_xlfn.XLOOKUP(C4317,Product!A:A,Product!B:B,"not found",0)</f>
        <v>Trek Madone 9.2 - 2017</v>
      </c>
      <c r="I4317" s="1">
        <f t="shared" si="135"/>
        <v>9999.91</v>
      </c>
    </row>
    <row r="4318" spans="1:9" x14ac:dyDescent="0.2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 s="1">
        <f t="shared" si="134"/>
        <v>4999.9399999999996</v>
      </c>
      <c r="H4318" s="1" t="str">
        <f>_xlfn.XLOOKUP(C4318,Product!A:A,Product!B:B,"not found",0)</f>
        <v>Trek Fuel EX 9.8 29 - 2017</v>
      </c>
      <c r="I4318" s="1">
        <f t="shared" si="135"/>
        <v>4999.9399999999996</v>
      </c>
    </row>
    <row r="4319" spans="1:9" x14ac:dyDescent="0.2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 s="1">
        <f t="shared" si="134"/>
        <v>9999.93</v>
      </c>
      <c r="H4319" s="1" t="str">
        <f>_xlfn.XLOOKUP(C4319,Product!A:A,Product!B:B,"not found",0)</f>
        <v>Trek Super Commuter+ 8S - 2018</v>
      </c>
      <c r="I4319" s="1">
        <f t="shared" si="135"/>
        <v>9999.93</v>
      </c>
    </row>
    <row r="4320" spans="1:9" x14ac:dyDescent="0.2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 s="1">
        <f t="shared" si="134"/>
        <v>489.94</v>
      </c>
      <c r="H4320" s="1" t="str">
        <f>_xlfn.XLOOKUP(C4320,Product!A:A,Product!B:B,"not found",0)</f>
        <v>Trek Superfly 24 - 2017/2018</v>
      </c>
      <c r="I4320" s="1">
        <f t="shared" si="135"/>
        <v>489.94</v>
      </c>
    </row>
    <row r="4321" spans="1:9" x14ac:dyDescent="0.2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 s="1">
        <f t="shared" si="134"/>
        <v>1359.91</v>
      </c>
      <c r="H4321" s="1" t="str">
        <f>_xlfn.XLOOKUP(C4321,Product!A:A,Product!B:B,"not found",0)</f>
        <v>Electra Townie Original 21D EQ - 2017/2018</v>
      </c>
      <c r="I4321" s="1">
        <f t="shared" si="135"/>
        <v>1359.91</v>
      </c>
    </row>
    <row r="4322" spans="1:9" x14ac:dyDescent="0.2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 s="1">
        <f t="shared" si="134"/>
        <v>639.91</v>
      </c>
      <c r="H4322" s="1" t="str">
        <f>_xlfn.XLOOKUP(C4322,Product!A:A,Product!B:B,"not found",0)</f>
        <v>Electra Treasure 1 20" - 2018</v>
      </c>
      <c r="I4322" s="1">
        <f t="shared" si="135"/>
        <v>639.91</v>
      </c>
    </row>
    <row r="4323" spans="1:9" x14ac:dyDescent="0.2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 s="1">
        <f t="shared" si="134"/>
        <v>6999.78</v>
      </c>
      <c r="H4323" s="1" t="str">
        <f>_xlfn.XLOOKUP(C4323,Product!A:A,Product!B:B,"not found",0)</f>
        <v>Trek Domane SL 6 - 2017</v>
      </c>
      <c r="I4323" s="1">
        <f t="shared" si="135"/>
        <v>6999.78</v>
      </c>
    </row>
    <row r="4324" spans="1:9" x14ac:dyDescent="0.2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 s="1">
        <f t="shared" si="134"/>
        <v>1359.93</v>
      </c>
      <c r="H4324" s="1" t="str">
        <f>_xlfn.XLOOKUP(C4324,Product!A:A,Product!B:B,"not found",0)</f>
        <v>Electra Townie Original 21D EQ - 2017/2018</v>
      </c>
      <c r="I4324" s="1">
        <f t="shared" si="135"/>
        <v>1359.93</v>
      </c>
    </row>
    <row r="4325" spans="1:9" x14ac:dyDescent="0.2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 s="1">
        <f t="shared" si="134"/>
        <v>4999.78</v>
      </c>
      <c r="H4325" s="1" t="str">
        <f>_xlfn.XLOOKUP(C4325,Product!A:A,Product!B:B,"not found",0)</f>
        <v>Surly Troll Frameset - 2018</v>
      </c>
      <c r="I4325" s="1">
        <f t="shared" si="135"/>
        <v>4999.78</v>
      </c>
    </row>
    <row r="4326" spans="1:9" x14ac:dyDescent="0.2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 s="1">
        <f t="shared" si="134"/>
        <v>319.79000000000002</v>
      </c>
      <c r="H4326" s="1" t="str">
        <f>_xlfn.XLOOKUP(C4326,Product!A:A,Product!B:B,"not found",0)</f>
        <v>Trek Precaliber 24 (7-Speed) - Boys - 2018</v>
      </c>
      <c r="I4326" s="1">
        <f t="shared" si="135"/>
        <v>319.79000000000002</v>
      </c>
    </row>
    <row r="4327" spans="1:9" x14ac:dyDescent="0.2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 s="1">
        <f t="shared" si="134"/>
        <v>3119.93</v>
      </c>
      <c r="H4327" s="1" t="str">
        <f>_xlfn.XLOOKUP(C4327,Product!A:A,Product!B:B,"not found",0)</f>
        <v>Sun Bicycles ElectroLite - 2017</v>
      </c>
      <c r="I4327" s="1">
        <f t="shared" si="135"/>
        <v>3119.93</v>
      </c>
    </row>
    <row r="4328" spans="1:9" x14ac:dyDescent="0.2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 s="1">
        <f t="shared" si="134"/>
        <v>489.94</v>
      </c>
      <c r="H4328" s="1" t="str">
        <f>_xlfn.XLOOKUP(C4328,Product!A:A,Product!B:B,"not found",0)</f>
        <v>Electra Straight 8 3i (20-inch) - Boy's - 2017</v>
      </c>
      <c r="I4328" s="1">
        <f t="shared" si="135"/>
        <v>489.94</v>
      </c>
    </row>
    <row r="4329" spans="1:9" x14ac:dyDescent="0.2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 s="1">
        <f t="shared" si="134"/>
        <v>489.89</v>
      </c>
      <c r="H4329" s="1" t="str">
        <f>_xlfn.XLOOKUP(C4329,Product!A:A,Product!B:B,"not found",0)</f>
        <v>Trek Marlin 5 - 2018</v>
      </c>
      <c r="I4329" s="1">
        <f t="shared" si="135"/>
        <v>489.89</v>
      </c>
    </row>
    <row r="4330" spans="1:9" x14ac:dyDescent="0.2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 s="1">
        <f t="shared" si="134"/>
        <v>199.89000000000001</v>
      </c>
      <c r="H4330" s="1" t="str">
        <f>_xlfn.XLOOKUP(C4330,Product!A:A,Product!B:B,"not found",0)</f>
        <v>Trek Precaliber 12 Boy's - 2018</v>
      </c>
      <c r="I4330" s="1">
        <f t="shared" si="135"/>
        <v>199.89000000000001</v>
      </c>
    </row>
    <row r="4331" spans="1:9" x14ac:dyDescent="0.2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 s="1">
        <f t="shared" si="134"/>
        <v>4499.92</v>
      </c>
      <c r="H4331" s="1" t="str">
        <f>_xlfn.XLOOKUP(C4331,Product!A:A,Product!B:B,"not found",0)</f>
        <v>Trek Emonda SLR 6 - 2018</v>
      </c>
      <c r="I4331" s="1">
        <f t="shared" si="135"/>
        <v>4499.92</v>
      </c>
    </row>
    <row r="4332" spans="1:9" x14ac:dyDescent="0.2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 s="1">
        <f t="shared" si="134"/>
        <v>3099.78</v>
      </c>
      <c r="H4332" s="1" t="str">
        <f>_xlfn.XLOOKUP(C4332,Product!A:A,Product!B:B,"not found",0)</f>
        <v>Trek Domane ALR 4 Disc Women's - 2018</v>
      </c>
      <c r="I4332" s="1">
        <f t="shared" si="135"/>
        <v>3099.78</v>
      </c>
    </row>
    <row r="4333" spans="1:9" x14ac:dyDescent="0.2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 s="1">
        <f t="shared" si="134"/>
        <v>2999.9399999999996</v>
      </c>
      <c r="H4333" s="1" t="str">
        <f>_xlfn.XLOOKUP(C4333,Product!A:A,Product!B:B,"not found",0)</f>
        <v>Electra Townie Commute Go! - 2018</v>
      </c>
      <c r="I4333" s="1">
        <f t="shared" si="135"/>
        <v>2999.9399999999996</v>
      </c>
    </row>
    <row r="4334" spans="1:9" x14ac:dyDescent="0.2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 s="1">
        <f t="shared" si="134"/>
        <v>2299.9399999999996</v>
      </c>
      <c r="H4334" s="1" t="str">
        <f>_xlfn.XLOOKUP(C4334,Product!A:A,Product!B:B,"not found",0)</f>
        <v>Trek Verve+ - 2018</v>
      </c>
      <c r="I4334" s="1">
        <f t="shared" si="135"/>
        <v>2299.9399999999996</v>
      </c>
    </row>
    <row r="4335" spans="1:9" x14ac:dyDescent="0.2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 s="1">
        <f t="shared" si="134"/>
        <v>699.78</v>
      </c>
      <c r="H4335" s="1" t="str">
        <f>_xlfn.XLOOKUP(C4335,Product!A:A,Product!B:B,"not found",0)</f>
        <v>Electra Moto 3i (20-inch) - Boy's - 2017</v>
      </c>
      <c r="I4335" s="1">
        <f t="shared" si="135"/>
        <v>699.78</v>
      </c>
    </row>
    <row r="4336" spans="1:9" x14ac:dyDescent="0.2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 s="1">
        <f t="shared" si="134"/>
        <v>2299.9199999999996</v>
      </c>
      <c r="H4336" s="1" t="str">
        <f>_xlfn.XLOOKUP(C4336,Product!A:A,Product!B:B,"not found",0)</f>
        <v>Trek Fuel EX 5 27.5 Plus - 2017</v>
      </c>
      <c r="I4336" s="1">
        <f t="shared" si="135"/>
        <v>2299.9199999999996</v>
      </c>
    </row>
    <row r="4337" spans="1:9" x14ac:dyDescent="0.2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 s="1">
        <f t="shared" si="134"/>
        <v>2499.9199999999996</v>
      </c>
      <c r="H4337" s="1" t="str">
        <f>_xlfn.XLOOKUP(C4337,Product!A:A,Product!B:B,"not found",0)</f>
        <v>Surly Troll Frameset - 2018</v>
      </c>
      <c r="I4337" s="1">
        <f t="shared" si="135"/>
        <v>2499.9199999999996</v>
      </c>
    </row>
    <row r="4338" spans="1:9" x14ac:dyDescent="0.2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 s="1">
        <f t="shared" si="134"/>
        <v>2999.79</v>
      </c>
      <c r="H4338" s="1" t="str">
        <f>_xlfn.XLOOKUP(C4338,Product!A:A,Product!B:B,"not found",0)</f>
        <v>Electra Townie Commute Go! - 2018</v>
      </c>
      <c r="I4338" s="1">
        <f t="shared" si="135"/>
        <v>2999.79</v>
      </c>
    </row>
    <row r="4339" spans="1:9" x14ac:dyDescent="0.2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 s="1">
        <f t="shared" si="134"/>
        <v>559.78</v>
      </c>
      <c r="H4339" s="1" t="str">
        <f>_xlfn.XLOOKUP(C4339,Product!A:A,Product!B:B,"not found",0)</f>
        <v>Electra Cyclosaurus 1 (16-inch) - Boy's - 2018</v>
      </c>
      <c r="I4339" s="1">
        <f t="shared" si="135"/>
        <v>559.78</v>
      </c>
    </row>
    <row r="4340" spans="1:9" x14ac:dyDescent="0.2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 s="1">
        <f t="shared" si="134"/>
        <v>875.89</v>
      </c>
      <c r="H4340" s="1" t="str">
        <f>_xlfn.XLOOKUP(C4340,Product!A:A,Product!B:B,"not found",0)</f>
        <v>Surly Steamroller - 2017</v>
      </c>
      <c r="I4340" s="1">
        <f t="shared" si="135"/>
        <v>875.89</v>
      </c>
    </row>
    <row r="4341" spans="1:9" x14ac:dyDescent="0.2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 s="1">
        <f t="shared" si="134"/>
        <v>299.89</v>
      </c>
      <c r="H4341" s="1" t="str">
        <f>_xlfn.XLOOKUP(C4341,Product!A:A,Product!B:B,"not found",0)</f>
        <v>Electra Sugar Skulls 1 (20-inch) - Girl's - 2017</v>
      </c>
      <c r="I4341" s="1">
        <f t="shared" si="135"/>
        <v>299.89</v>
      </c>
    </row>
    <row r="4342" spans="1:9" x14ac:dyDescent="0.2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 s="1">
        <f t="shared" si="134"/>
        <v>749.89</v>
      </c>
      <c r="H4342" s="1" t="str">
        <f>_xlfn.XLOOKUP(C4342,Product!A:A,Product!B:B,"not found",0)</f>
        <v>Electra Townie Balloon 3i EQ - 2017/2018</v>
      </c>
      <c r="I4342" s="1">
        <f t="shared" si="135"/>
        <v>749.89</v>
      </c>
    </row>
    <row r="4343" spans="1:9" x14ac:dyDescent="0.2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 s="1">
        <f t="shared" si="134"/>
        <v>319.94</v>
      </c>
      <c r="H4343" s="1" t="str">
        <f>_xlfn.XLOOKUP(C4343,Product!A:A,Product!B:B,"not found",0)</f>
        <v>Electra Cruiser 7D - 2016/2017/2018</v>
      </c>
      <c r="I4343" s="1">
        <f t="shared" si="135"/>
        <v>319.94</v>
      </c>
    </row>
    <row r="4344" spans="1:9" x14ac:dyDescent="0.2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 s="1">
        <f t="shared" si="134"/>
        <v>599.78</v>
      </c>
      <c r="H4344" s="1" t="str">
        <f>_xlfn.XLOOKUP(C4344,Product!A:A,Product!B:B,"not found",0)</f>
        <v>Electra Girl's Hawaii 1 16" - 2017</v>
      </c>
      <c r="I4344" s="1">
        <f t="shared" si="135"/>
        <v>599.78</v>
      </c>
    </row>
    <row r="4345" spans="1:9" x14ac:dyDescent="0.2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 s="1">
        <f t="shared" si="134"/>
        <v>449.94</v>
      </c>
      <c r="H4345" s="1" t="str">
        <f>_xlfn.XLOOKUP(C4345,Product!A:A,Product!B:B,"not found",0)</f>
        <v>Electra Townie Original 1 - 2018</v>
      </c>
      <c r="I4345" s="1">
        <f t="shared" si="135"/>
        <v>449.94</v>
      </c>
    </row>
    <row r="4346" spans="1:9" x14ac:dyDescent="0.2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 s="1">
        <f t="shared" si="134"/>
        <v>3119.91</v>
      </c>
      <c r="H4346" s="1" t="str">
        <f>_xlfn.XLOOKUP(C4346,Product!A:A,Product!B:B,"not found",0)</f>
        <v>Sun Bicycles ElectroLite - 2017</v>
      </c>
      <c r="I4346" s="1">
        <f t="shared" si="135"/>
        <v>3119.91</v>
      </c>
    </row>
    <row r="4347" spans="1:9" x14ac:dyDescent="0.2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 s="1">
        <f t="shared" si="134"/>
        <v>5999.91</v>
      </c>
      <c r="H4347" s="1" t="str">
        <f>_xlfn.XLOOKUP(C4347,Product!A:A,Product!B:B,"not found",0)</f>
        <v>Trek Remedy 7 27.5 - 2018</v>
      </c>
      <c r="I4347" s="1">
        <f t="shared" si="135"/>
        <v>5999.91</v>
      </c>
    </row>
    <row r="4348" spans="1:9" x14ac:dyDescent="0.2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 s="1">
        <f t="shared" si="134"/>
        <v>759.88</v>
      </c>
      <c r="H4348" s="1" t="str">
        <f>_xlfn.XLOOKUP(C4348,Product!A:A,Product!B:B,"not found",0)</f>
        <v>Haro Flightline One ST - 2017</v>
      </c>
      <c r="I4348" s="1">
        <f t="shared" si="135"/>
        <v>759.88</v>
      </c>
    </row>
    <row r="4349" spans="1:9" x14ac:dyDescent="0.2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 s="1">
        <f t="shared" si="134"/>
        <v>429.89</v>
      </c>
      <c r="H4349" s="1" t="str">
        <f>_xlfn.XLOOKUP(C4349,Product!A:A,Product!B:B,"not found",0)</f>
        <v>Electra Cruiser Lux 1 Ladies' - 2018</v>
      </c>
      <c r="I4349" s="1">
        <f t="shared" si="135"/>
        <v>429.89</v>
      </c>
    </row>
    <row r="4350" spans="1:9" x14ac:dyDescent="0.2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 s="1">
        <f t="shared" si="134"/>
        <v>859.88</v>
      </c>
      <c r="H4350" s="1" t="str">
        <f>_xlfn.XLOOKUP(C4350,Product!A:A,Product!B:B,"not found",0)</f>
        <v>Electra Cruiser Lux 1 Ladies' - 2018</v>
      </c>
      <c r="I4350" s="1">
        <f t="shared" si="135"/>
        <v>859.88</v>
      </c>
    </row>
    <row r="4351" spans="1:9" x14ac:dyDescent="0.2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 s="1">
        <f t="shared" si="134"/>
        <v>1499.78</v>
      </c>
      <c r="H4351" s="1" t="str">
        <f>_xlfn.XLOOKUP(C4351,Product!A:A,Product!B:B,"not found",0)</f>
        <v>Trek Domane AL 2 - 2018</v>
      </c>
      <c r="I4351" s="1">
        <f t="shared" si="135"/>
        <v>1499.78</v>
      </c>
    </row>
    <row r="4352" spans="1:9" x14ac:dyDescent="0.2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 s="1">
        <f t="shared" si="134"/>
        <v>499.93</v>
      </c>
      <c r="H4352" s="1" t="str">
        <f>_xlfn.XLOOKUP(C4352,Product!A:A,Product!B:B,"not found",0)</f>
        <v>Strider Sport 16 - 2018</v>
      </c>
      <c r="I4352" s="1">
        <f t="shared" si="135"/>
        <v>499.93</v>
      </c>
    </row>
    <row r="4353" spans="1:9" x14ac:dyDescent="0.2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 s="1">
        <f t="shared" si="134"/>
        <v>739.93000000000006</v>
      </c>
      <c r="H4353" s="1" t="str">
        <f>_xlfn.XLOOKUP(C4353,Product!A:A,Product!B:B,"not found",0)</f>
        <v>Electra Sweet Ride 3i (20-inch) - Girls' - 2018</v>
      </c>
      <c r="I4353" s="1">
        <f t="shared" si="135"/>
        <v>739.93000000000006</v>
      </c>
    </row>
    <row r="4354" spans="1:9" x14ac:dyDescent="0.2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 s="1">
        <f t="shared" si="134"/>
        <v>1499.78</v>
      </c>
      <c r="H4354" s="1" t="str">
        <f>_xlfn.XLOOKUP(C4354,Product!A:A,Product!B:B,"not found",0)</f>
        <v>Electra Townie Balloon 8D EQ Ladies' - 2016/2017/2018</v>
      </c>
      <c r="I4354" s="1">
        <f t="shared" si="135"/>
        <v>1499.78</v>
      </c>
    </row>
    <row r="4355" spans="1:9" x14ac:dyDescent="0.2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 s="1">
        <f t="shared" ref="G4355:G4418" si="136">(E4355*D4355)-F4355</f>
        <v>2598.9</v>
      </c>
      <c r="H4355" s="1" t="str">
        <f>_xlfn.XLOOKUP(C4355,Product!A:A,Product!B:B,"not found",0)</f>
        <v>Heller Shagamaw GX1 - 2018</v>
      </c>
      <c r="I4355" s="1">
        <f t="shared" ref="I4355:I4418" si="137">(D4355*E4355)-F4355</f>
        <v>2598.9</v>
      </c>
    </row>
    <row r="4356" spans="1:9" x14ac:dyDescent="0.2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 s="1">
        <f t="shared" si="136"/>
        <v>599.91999999999996</v>
      </c>
      <c r="H4356" s="1" t="str">
        <f>_xlfn.XLOOKUP(C4356,Product!A:A,Product!B:B,"not found",0)</f>
        <v>Electra Townie Original 7D EQ Ladies' - 2017/2018</v>
      </c>
      <c r="I4356" s="1">
        <f t="shared" si="137"/>
        <v>599.91999999999996</v>
      </c>
    </row>
    <row r="4357" spans="1:9" x14ac:dyDescent="0.2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 s="1">
        <f t="shared" si="136"/>
        <v>899.92</v>
      </c>
      <c r="H4357" s="1" t="str">
        <f>_xlfn.XLOOKUP(C4357,Product!A:A,Product!B:B,"not found",0)</f>
        <v>Electra Tiger Shark 3i - 2018</v>
      </c>
      <c r="I4357" s="1">
        <f t="shared" si="137"/>
        <v>899.92</v>
      </c>
    </row>
    <row r="4358" spans="1:9" x14ac:dyDescent="0.2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 s="1">
        <f t="shared" si="136"/>
        <v>959.93000000000006</v>
      </c>
      <c r="H4358" s="1" t="str">
        <f>_xlfn.XLOOKUP(C4358,Product!A:A,Product!B:B,"not found",0)</f>
        <v>Electra Cruiser Lux 7D - 2018</v>
      </c>
      <c r="I4358" s="1">
        <f t="shared" si="137"/>
        <v>959.93000000000006</v>
      </c>
    </row>
    <row r="4359" spans="1:9" x14ac:dyDescent="0.2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 s="1">
        <f t="shared" si="136"/>
        <v>449.94</v>
      </c>
      <c r="H4359" s="1" t="str">
        <f>_xlfn.XLOOKUP(C4359,Product!A:A,Product!B:B,"not found",0)</f>
        <v>Electra Townie Original 1 - 2018</v>
      </c>
      <c r="I4359" s="1">
        <f t="shared" si="137"/>
        <v>449.94</v>
      </c>
    </row>
    <row r="4360" spans="1:9" x14ac:dyDescent="0.2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 s="1">
        <f t="shared" si="136"/>
        <v>1919.78</v>
      </c>
      <c r="H4360" s="1" t="str">
        <f>_xlfn.XLOOKUP(C4360,Product!A:A,Product!B:B,"not found",0)</f>
        <v>Electra Delivery 3i - 2016/2017/2018</v>
      </c>
      <c r="I4360" s="1">
        <f t="shared" si="137"/>
        <v>1919.78</v>
      </c>
    </row>
    <row r="4361" spans="1:9" x14ac:dyDescent="0.2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 s="1">
        <f t="shared" si="136"/>
        <v>3199.78</v>
      </c>
      <c r="H4361" s="1" t="str">
        <f>_xlfn.XLOOKUP(C4361,Product!A:A,Product!B:B,"not found",0)</f>
        <v>Trek Stache 5 - 2018</v>
      </c>
      <c r="I4361" s="1">
        <f t="shared" si="137"/>
        <v>3199.78</v>
      </c>
    </row>
    <row r="4362" spans="1:9" x14ac:dyDescent="0.2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 s="1">
        <f t="shared" si="136"/>
        <v>5999.8799999999992</v>
      </c>
      <c r="H4362" s="1" t="str">
        <f>_xlfn.XLOOKUP(C4362,Product!A:A,Product!B:B,"not found",0)</f>
        <v>Electra Townie Commute Go! - 2018</v>
      </c>
      <c r="I4362" s="1">
        <f t="shared" si="137"/>
        <v>5999.8799999999992</v>
      </c>
    </row>
    <row r="4363" spans="1:9" x14ac:dyDescent="0.2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 s="1">
        <f t="shared" si="136"/>
        <v>7199.91</v>
      </c>
      <c r="H4363" s="1" t="str">
        <f>_xlfn.XLOOKUP(C4363,Product!A:A,Product!B:B,"not found",0)</f>
        <v>Trek Super Commuter+ 7 - 2018</v>
      </c>
      <c r="I4363" s="1">
        <f t="shared" si="137"/>
        <v>7199.91</v>
      </c>
    </row>
    <row r="4364" spans="1:9" x14ac:dyDescent="0.2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 s="1">
        <f t="shared" si="136"/>
        <v>3199.9399999999996</v>
      </c>
      <c r="H4364" s="1" t="str">
        <f>_xlfn.XLOOKUP(C4364,Product!A:A,Product!B:B,"not found",0)</f>
        <v>Trek Domane ALR Disc Frameset - 2018</v>
      </c>
      <c r="I4364" s="1">
        <f t="shared" si="137"/>
        <v>3199.9399999999996</v>
      </c>
    </row>
    <row r="4365" spans="1:9" x14ac:dyDescent="0.2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 s="1">
        <f t="shared" si="136"/>
        <v>1599.91</v>
      </c>
      <c r="H4365" s="1" t="str">
        <f>_xlfn.XLOOKUP(C4365,Product!A:A,Product!B:B,"not found",0)</f>
        <v>Electra Townie Balloon 3i EQ Ladies' - 2018</v>
      </c>
      <c r="I4365" s="1">
        <f t="shared" si="137"/>
        <v>1599.91</v>
      </c>
    </row>
    <row r="4366" spans="1:9" x14ac:dyDescent="0.2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 s="1">
        <f t="shared" si="136"/>
        <v>470.94</v>
      </c>
      <c r="H4366" s="1" t="str">
        <f>_xlfn.XLOOKUP(C4366,Product!A:A,Product!B:B,"not found",0)</f>
        <v>Sun Bicycles Drifter 7 - 2017</v>
      </c>
      <c r="I4366" s="1">
        <f t="shared" si="137"/>
        <v>470.94</v>
      </c>
    </row>
    <row r="4367" spans="1:9" x14ac:dyDescent="0.2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 s="1">
        <f t="shared" si="136"/>
        <v>1799.92</v>
      </c>
      <c r="H4367" s="1" t="str">
        <f>_xlfn.XLOOKUP(C4367,Product!A:A,Product!B:B,"not found",0)</f>
        <v>Trek Crockett 5 Disc - 2018</v>
      </c>
      <c r="I4367" s="1">
        <f t="shared" si="137"/>
        <v>1799.92</v>
      </c>
    </row>
    <row r="4368" spans="1:9" x14ac:dyDescent="0.2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 s="1">
        <f t="shared" si="136"/>
        <v>319.93</v>
      </c>
      <c r="H4368" s="1" t="str">
        <f>_xlfn.XLOOKUP(C4368,Product!A:A,Product!B:B,"not found",0)</f>
        <v>Trek Kickster - 2018</v>
      </c>
      <c r="I4368" s="1">
        <f t="shared" si="137"/>
        <v>319.93</v>
      </c>
    </row>
    <row r="4369" spans="1:9" x14ac:dyDescent="0.2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 s="1">
        <f t="shared" si="136"/>
        <v>749.94</v>
      </c>
      <c r="H4369" s="1" t="str">
        <f>_xlfn.XLOOKUP(C4369,Product!A:A,Product!B:B,"not found",0)</f>
        <v>Ritchey Timberwolf Frameset - 2016</v>
      </c>
      <c r="I4369" s="1">
        <f t="shared" si="137"/>
        <v>749.94</v>
      </c>
    </row>
    <row r="4370" spans="1:9" x14ac:dyDescent="0.2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 s="1">
        <f t="shared" si="136"/>
        <v>6399.8799999999992</v>
      </c>
      <c r="H4370" s="1" t="str">
        <f>_xlfn.XLOOKUP(C4370,Product!A:A,Product!B:B,"not found",0)</f>
        <v>Trek Domane SL 6 - 2018</v>
      </c>
      <c r="I4370" s="1">
        <f t="shared" si="137"/>
        <v>6399.8799999999992</v>
      </c>
    </row>
    <row r="4371" spans="1:9" x14ac:dyDescent="0.2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 s="1">
        <f t="shared" si="136"/>
        <v>2939.91</v>
      </c>
      <c r="H4371" s="1" t="str">
        <f>_xlfn.XLOOKUP(C4371,Product!A:A,Product!B:B,"not found",0)</f>
        <v>Haro Shift R3 - 2017</v>
      </c>
      <c r="I4371" s="1">
        <f t="shared" si="137"/>
        <v>2939.91</v>
      </c>
    </row>
    <row r="4372" spans="1:9" x14ac:dyDescent="0.2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 s="1">
        <f t="shared" si="136"/>
        <v>319.92</v>
      </c>
      <c r="H4372" s="1" t="str">
        <f>_xlfn.XLOOKUP(C4372,Product!A:A,Product!B:B,"not found",0)</f>
        <v>Electra Tiger Shark 1 (20-inch) - Boys' - 2018</v>
      </c>
      <c r="I4372" s="1">
        <f t="shared" si="137"/>
        <v>319.92</v>
      </c>
    </row>
    <row r="4373" spans="1:9" x14ac:dyDescent="0.2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 s="1">
        <f t="shared" si="136"/>
        <v>599.94000000000005</v>
      </c>
      <c r="H4373" s="1" t="str">
        <f>_xlfn.XLOOKUP(C4373,Product!A:A,Product!B:B,"not found",0)</f>
        <v>Electra Townie Original 7D EQ Ladies' - 2017/2018</v>
      </c>
      <c r="I4373" s="1">
        <f t="shared" si="137"/>
        <v>599.94000000000005</v>
      </c>
    </row>
    <row r="4374" spans="1:9" x14ac:dyDescent="0.2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 s="1">
        <f t="shared" si="136"/>
        <v>639.91999999999996</v>
      </c>
      <c r="H4374" s="1" t="str">
        <f>_xlfn.XLOOKUP(C4374,Product!A:A,Product!B:B,"not found",0)</f>
        <v>Electra Moto 3i - 2018</v>
      </c>
      <c r="I4374" s="1">
        <f t="shared" si="137"/>
        <v>639.91999999999996</v>
      </c>
    </row>
    <row r="4375" spans="1:9" x14ac:dyDescent="0.2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 s="1">
        <f t="shared" si="136"/>
        <v>529.94000000000005</v>
      </c>
      <c r="H4375" s="1" t="str">
        <f>_xlfn.XLOOKUP(C4375,Product!A:A,Product!B:B,"not found",0)</f>
        <v>Electra Moto 1 - 2016</v>
      </c>
      <c r="I4375" s="1">
        <f t="shared" si="137"/>
        <v>529.94000000000005</v>
      </c>
    </row>
    <row r="4376" spans="1:9" x14ac:dyDescent="0.2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 s="1">
        <f t="shared" si="136"/>
        <v>250.79000000000002</v>
      </c>
      <c r="H4376" s="1" t="str">
        <f>_xlfn.XLOOKUP(C4376,Product!A:A,Product!B:B,"not found",0)</f>
        <v>Sun Bicycles Revolutions 24 - Girl's - 2017</v>
      </c>
      <c r="I4376" s="1">
        <f t="shared" si="137"/>
        <v>250.79000000000002</v>
      </c>
    </row>
    <row r="4377" spans="1:9" x14ac:dyDescent="0.2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 s="1">
        <f t="shared" si="136"/>
        <v>1548.95</v>
      </c>
      <c r="H4377" s="1" t="str">
        <f>_xlfn.XLOOKUP(C4377,Product!A:A,Product!B:B,"not found",0)</f>
        <v>Surly Straggler - 2018</v>
      </c>
      <c r="I4377" s="1">
        <f t="shared" si="137"/>
        <v>1548.95</v>
      </c>
    </row>
    <row r="4378" spans="1:9" x14ac:dyDescent="0.2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 s="1">
        <f t="shared" si="136"/>
        <v>1059.78</v>
      </c>
      <c r="H4378" s="1" t="str">
        <f>_xlfn.XLOOKUP(C4378,Product!A:A,Product!B:B,"not found",0)</f>
        <v>Electra Cruiser Lux 3i Ladies' - 2018</v>
      </c>
      <c r="I4378" s="1">
        <f t="shared" si="137"/>
        <v>1059.78</v>
      </c>
    </row>
    <row r="4379" spans="1:9" x14ac:dyDescent="0.2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 s="1">
        <f t="shared" si="136"/>
        <v>897.93</v>
      </c>
      <c r="H4379" s="1" t="str">
        <f>_xlfn.XLOOKUP(C4379,Product!A:A,Product!B:B,"not found",0)</f>
        <v>Pure Cycles William 3-Speed - 2016</v>
      </c>
      <c r="I4379" s="1">
        <f t="shared" si="137"/>
        <v>897.93</v>
      </c>
    </row>
    <row r="4380" spans="1:9" x14ac:dyDescent="0.2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 s="1">
        <f t="shared" si="136"/>
        <v>1199.9100000000001</v>
      </c>
      <c r="H4380" s="1" t="str">
        <f>_xlfn.XLOOKUP(C4380,Product!A:A,Product!B:B,"not found",0)</f>
        <v>Electra Townie Original 7D EQ - 2016</v>
      </c>
      <c r="I4380" s="1">
        <f t="shared" si="137"/>
        <v>1199.9100000000001</v>
      </c>
    </row>
    <row r="4381" spans="1:9" x14ac:dyDescent="0.2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 s="1">
        <f t="shared" si="136"/>
        <v>159.79000000000002</v>
      </c>
      <c r="H4381" s="1" t="str">
        <f>_xlfn.XLOOKUP(C4381,Product!A:A,Product!B:B,"not found",0)</f>
        <v>Trek Kickster - 2018</v>
      </c>
      <c r="I4381" s="1">
        <f t="shared" si="137"/>
        <v>159.79000000000002</v>
      </c>
    </row>
    <row r="4382" spans="1:9" x14ac:dyDescent="0.2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 s="1">
        <f t="shared" si="136"/>
        <v>899.92</v>
      </c>
      <c r="H4382" s="1" t="str">
        <f>_xlfn.XLOOKUP(C4382,Product!A:A,Product!B:B,"not found",0)</f>
        <v>Electra Townie Balloon 7i EQ Ladies' - 2017/2018</v>
      </c>
      <c r="I4382" s="1">
        <f t="shared" si="137"/>
        <v>899.92</v>
      </c>
    </row>
    <row r="4383" spans="1:9" x14ac:dyDescent="0.2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 s="1">
        <f t="shared" si="136"/>
        <v>909.89</v>
      </c>
      <c r="H4383" s="1" t="str">
        <f>_xlfn.XLOOKUP(C4383,Product!A:A,Product!B:B,"not found",0)</f>
        <v>Electra Straight 8 3i - 2018</v>
      </c>
      <c r="I4383" s="1">
        <f t="shared" si="137"/>
        <v>909.89</v>
      </c>
    </row>
    <row r="4384" spans="1:9" x14ac:dyDescent="0.2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 s="1">
        <f t="shared" si="136"/>
        <v>899.93000000000006</v>
      </c>
      <c r="H4384" s="1" t="str">
        <f>_xlfn.XLOOKUP(C4384,Product!A:A,Product!B:B,"not found",0)</f>
        <v>Electra Townie Original 1 - 2018</v>
      </c>
      <c r="I4384" s="1">
        <f t="shared" si="137"/>
        <v>899.93000000000006</v>
      </c>
    </row>
    <row r="4385" spans="1:9" x14ac:dyDescent="0.2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 s="1">
        <f t="shared" si="136"/>
        <v>319.92</v>
      </c>
      <c r="H4385" s="1" t="str">
        <f>_xlfn.XLOOKUP(C4385,Product!A:A,Product!B:B,"not found",0)</f>
        <v>Trek Precaliber 24 (7-Speed) - Boys - 2018</v>
      </c>
      <c r="I4385" s="1">
        <f t="shared" si="137"/>
        <v>319.92</v>
      </c>
    </row>
    <row r="4386" spans="1:9" x14ac:dyDescent="0.2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 s="1">
        <f t="shared" si="136"/>
        <v>1059.93</v>
      </c>
      <c r="H4386" s="1" t="str">
        <f>_xlfn.XLOOKUP(C4386,Product!A:A,Product!B:B,"not found",0)</f>
        <v>Electra Cruiser Lux 3i - 2018</v>
      </c>
      <c r="I4386" s="1">
        <f t="shared" si="137"/>
        <v>1059.93</v>
      </c>
    </row>
    <row r="4387" spans="1:9" x14ac:dyDescent="0.2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 s="1">
        <f t="shared" si="136"/>
        <v>1099.9100000000001</v>
      </c>
      <c r="H4387" s="1" t="str">
        <f>_xlfn.XLOOKUP(C4387,Product!A:A,Product!B:B,"not found",0)</f>
        <v>Electra Townie Original 21D - 2016</v>
      </c>
      <c r="I4387" s="1">
        <f t="shared" si="137"/>
        <v>1099.9100000000001</v>
      </c>
    </row>
    <row r="4388" spans="1:9" x14ac:dyDescent="0.2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 s="1">
        <f t="shared" si="136"/>
        <v>10599.93</v>
      </c>
      <c r="H4388" s="1" t="str">
        <f>_xlfn.XLOOKUP(C4388,Product!A:A,Product!B:B,"not found",0)</f>
        <v>Trek Fuel EX 9.8 27.5 Plus - 2017</v>
      </c>
      <c r="I4388" s="1">
        <f t="shared" si="137"/>
        <v>10599.93</v>
      </c>
    </row>
    <row r="4389" spans="1:9" x14ac:dyDescent="0.2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 s="1">
        <f t="shared" si="136"/>
        <v>3499.9399999999996</v>
      </c>
      <c r="H4389" s="1" t="str">
        <f>_xlfn.XLOOKUP(C4389,Product!A:A,Product!B:B,"not found",0)</f>
        <v>Trek Domane SL 6 Disc - 2018</v>
      </c>
      <c r="I4389" s="1">
        <f t="shared" si="137"/>
        <v>3499.9399999999996</v>
      </c>
    </row>
    <row r="4390" spans="1:9" x14ac:dyDescent="0.2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 s="1">
        <f t="shared" si="136"/>
        <v>9999.7799999999988</v>
      </c>
      <c r="H4390" s="1" t="str">
        <f>_xlfn.XLOOKUP(C4390,Product!A:A,Product!B:B,"not found",0)</f>
        <v>Trek Domane SL 7 Women's - 2018</v>
      </c>
      <c r="I4390" s="1">
        <f t="shared" si="137"/>
        <v>9999.7799999999988</v>
      </c>
    </row>
    <row r="4391" spans="1:9" x14ac:dyDescent="0.2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 s="1">
        <f t="shared" si="136"/>
        <v>14999.93</v>
      </c>
      <c r="H4391" s="1" t="str">
        <f>_xlfn.XLOOKUP(C4391,Product!A:A,Product!B:B,"not found",0)</f>
        <v>Trek Domane SLR 8 Disc - 2018</v>
      </c>
      <c r="I4391" s="1">
        <f t="shared" si="137"/>
        <v>14999.93</v>
      </c>
    </row>
    <row r="4392" spans="1:9" x14ac:dyDescent="0.2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 s="1">
        <f t="shared" si="136"/>
        <v>2999.78</v>
      </c>
      <c r="H4392" s="1" t="str">
        <f>_xlfn.XLOOKUP(C4392,Product!A:A,Product!B:B,"not found",0)</f>
        <v>Trek Stache 5 - 2017</v>
      </c>
      <c r="I4392" s="1">
        <f t="shared" si="137"/>
        <v>2999.78</v>
      </c>
    </row>
    <row r="4393" spans="1:9" x14ac:dyDescent="0.2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 s="1">
        <f t="shared" si="136"/>
        <v>3361.88</v>
      </c>
      <c r="H4393" s="1" t="str">
        <f>_xlfn.XLOOKUP(C4393,Product!A:A,Product!B:B,"not found",0)</f>
        <v>Surly Straggler 650b - 2016</v>
      </c>
      <c r="I4393" s="1">
        <f t="shared" si="137"/>
        <v>3361.88</v>
      </c>
    </row>
    <row r="4394" spans="1:9" x14ac:dyDescent="0.2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 s="1">
        <f t="shared" si="136"/>
        <v>1199.92</v>
      </c>
      <c r="H4394" s="1" t="str">
        <f>_xlfn.XLOOKUP(C4394,Product!A:A,Product!B:B,"not found",0)</f>
        <v>Electra Amsterdam Royal 8i Ladies - 2018</v>
      </c>
      <c r="I4394" s="1">
        <f t="shared" si="137"/>
        <v>1199.92</v>
      </c>
    </row>
    <row r="4395" spans="1:9" x14ac:dyDescent="0.2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 s="1">
        <f t="shared" si="136"/>
        <v>319.92</v>
      </c>
      <c r="H4395" s="1" t="str">
        <f>_xlfn.XLOOKUP(C4395,Product!A:A,Product!B:B,"not found",0)</f>
        <v>Electra Cruiser 7D (24-Inch) Ladies' - 2016/2018</v>
      </c>
      <c r="I4395" s="1">
        <f t="shared" si="137"/>
        <v>319.92</v>
      </c>
    </row>
    <row r="4396" spans="1:9" x14ac:dyDescent="0.2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 s="1">
        <f t="shared" si="136"/>
        <v>639.93000000000006</v>
      </c>
      <c r="H4396" s="1" t="str">
        <f>_xlfn.XLOOKUP(C4396,Product!A:A,Product!B:B,"not found",0)</f>
        <v>Electra Tiger Shark 1 (20-inch) - Boys' - 2018</v>
      </c>
      <c r="I4396" s="1">
        <f t="shared" si="137"/>
        <v>639.93000000000006</v>
      </c>
    </row>
    <row r="4397" spans="1:9" x14ac:dyDescent="0.2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 s="1">
        <f t="shared" si="136"/>
        <v>379.79</v>
      </c>
      <c r="H4397" s="1" t="str">
        <f>_xlfn.XLOOKUP(C4397,Product!A:A,Product!B:B,"not found",0)</f>
        <v>Haro Flightline One ST - 2017</v>
      </c>
      <c r="I4397" s="1">
        <f t="shared" si="137"/>
        <v>379.79</v>
      </c>
    </row>
    <row r="4398" spans="1:9" x14ac:dyDescent="0.2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 s="1">
        <f t="shared" si="136"/>
        <v>416.89</v>
      </c>
      <c r="H4398" s="1" t="str">
        <f>_xlfn.XLOOKUP(C4398,Product!A:A,Product!B:B,"not found",0)</f>
        <v>Sun Bicycles Cruz 7 - Women's - 2017</v>
      </c>
      <c r="I4398" s="1">
        <f t="shared" si="137"/>
        <v>416.89</v>
      </c>
    </row>
    <row r="4399" spans="1:9" x14ac:dyDescent="0.2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 s="1">
        <f t="shared" si="136"/>
        <v>1751.93</v>
      </c>
      <c r="H4399" s="1" t="str">
        <f>_xlfn.XLOOKUP(C4399,Product!A:A,Product!B:B,"not found",0)</f>
        <v>Surly Steamroller - 2017</v>
      </c>
      <c r="I4399" s="1">
        <f t="shared" si="137"/>
        <v>1751.93</v>
      </c>
    </row>
    <row r="4400" spans="1:9" x14ac:dyDescent="0.2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 s="1">
        <f t="shared" si="136"/>
        <v>189.94</v>
      </c>
      <c r="H4400" s="1" t="str">
        <f>_xlfn.XLOOKUP(C4400,Product!A:A,Product!B:B,"not found",0)</f>
        <v>Trek Precaliber 12 Girls - 2017</v>
      </c>
      <c r="I4400" s="1">
        <f t="shared" si="137"/>
        <v>189.94</v>
      </c>
    </row>
    <row r="4401" spans="1:9" x14ac:dyDescent="0.2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 s="1">
        <f t="shared" si="136"/>
        <v>1499.91</v>
      </c>
      <c r="H4401" s="1" t="str">
        <f>_xlfn.XLOOKUP(C4401,Product!A:A,Product!B:B,"not found",0)</f>
        <v>Electra Queen of Hearts 3i - 2018</v>
      </c>
      <c r="I4401" s="1">
        <f t="shared" si="137"/>
        <v>1499.91</v>
      </c>
    </row>
    <row r="4402" spans="1:9" x14ac:dyDescent="0.2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 s="1">
        <f t="shared" si="136"/>
        <v>6399.9299999999994</v>
      </c>
      <c r="H4402" s="1" t="str">
        <f>_xlfn.XLOOKUP(C4402,Product!A:A,Product!B:B,"not found",0)</f>
        <v>Trek Fuel EX 8 29 XT - 2018</v>
      </c>
      <c r="I4402" s="1">
        <f t="shared" si="137"/>
        <v>6399.9299999999994</v>
      </c>
    </row>
    <row r="4403" spans="1:9" x14ac:dyDescent="0.2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 s="1">
        <f t="shared" si="136"/>
        <v>449.89</v>
      </c>
      <c r="H4403" s="1" t="str">
        <f>_xlfn.XLOOKUP(C4403,Product!A:A,Product!B:B,"not found",0)</f>
        <v>Sun Bicycles Cruz 3 - 2017</v>
      </c>
      <c r="I4403" s="1">
        <f t="shared" si="137"/>
        <v>449.89</v>
      </c>
    </row>
    <row r="4404" spans="1:9" x14ac:dyDescent="0.2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 s="1">
        <f t="shared" si="136"/>
        <v>5999.8799999999992</v>
      </c>
      <c r="H4404" s="1" t="str">
        <f>_xlfn.XLOOKUP(C4404,Product!A:A,Product!B:B,"not found",0)</f>
        <v>Electra Townie Commute Go! - 2018</v>
      </c>
      <c r="I4404" s="1">
        <f t="shared" si="137"/>
        <v>5999.8799999999992</v>
      </c>
    </row>
    <row r="4405" spans="1:9" x14ac:dyDescent="0.2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 s="1">
        <f t="shared" si="136"/>
        <v>539.88</v>
      </c>
      <c r="H4405" s="1" t="str">
        <f>_xlfn.XLOOKUP(C4405,Product!A:A,Product!B:B,"not found",0)</f>
        <v>Electra Cruiser 1 Ladies' - 2018</v>
      </c>
      <c r="I4405" s="1">
        <f t="shared" si="137"/>
        <v>539.88</v>
      </c>
    </row>
    <row r="4406" spans="1:9" x14ac:dyDescent="0.2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 s="1">
        <f t="shared" si="136"/>
        <v>2598.9499999999998</v>
      </c>
      <c r="H4406" s="1" t="str">
        <f>_xlfn.XLOOKUP(C4406,Product!A:A,Product!B:B,"not found",0)</f>
        <v>Heller Shagamaw GX1 - 2018</v>
      </c>
      <c r="I4406" s="1">
        <f t="shared" si="137"/>
        <v>2598.9499999999998</v>
      </c>
    </row>
    <row r="4407" spans="1:9" x14ac:dyDescent="0.2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 s="1">
        <f t="shared" si="136"/>
        <v>3099.78</v>
      </c>
      <c r="H4407" s="1" t="str">
        <f>_xlfn.XLOOKUP(C4407,Product!A:A,Product!B:B,"not found",0)</f>
        <v>Trek Domane ALR 4 Disc - 2018</v>
      </c>
      <c r="I4407" s="1">
        <f t="shared" si="137"/>
        <v>3099.78</v>
      </c>
    </row>
    <row r="4408" spans="1:9" x14ac:dyDescent="0.2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 s="1">
        <f t="shared" si="136"/>
        <v>389.92</v>
      </c>
      <c r="H4408" s="1" t="str">
        <f>_xlfn.XLOOKUP(C4408,Product!A:A,Product!B:B,"not found",0)</f>
        <v>Electra Straight 8 1 (20-inch) - Boy's - 2018</v>
      </c>
      <c r="I4408" s="1">
        <f t="shared" si="137"/>
        <v>389.92</v>
      </c>
    </row>
    <row r="4409" spans="1:9" x14ac:dyDescent="0.2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 s="1">
        <f t="shared" si="136"/>
        <v>857.93</v>
      </c>
      <c r="H4409" s="1" t="str">
        <f>_xlfn.XLOOKUP(C4409,Product!A:A,Product!B:B,"not found",0)</f>
        <v>Pure Cycles Vine 8-Speed - 2016</v>
      </c>
      <c r="I4409" s="1">
        <f t="shared" si="137"/>
        <v>857.93</v>
      </c>
    </row>
    <row r="4410" spans="1:9" x14ac:dyDescent="0.2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 s="1">
        <f t="shared" si="136"/>
        <v>1469.94</v>
      </c>
      <c r="H4410" s="1" t="str">
        <f>_xlfn.XLOOKUP(C4410,Product!A:A,Product!B:B,"not found",0)</f>
        <v>Haro Shift R3 - 2017</v>
      </c>
      <c r="I4410" s="1">
        <f t="shared" si="137"/>
        <v>1469.94</v>
      </c>
    </row>
    <row r="4411" spans="1:9" x14ac:dyDescent="0.2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 s="1">
        <f t="shared" si="136"/>
        <v>2997.8</v>
      </c>
      <c r="H4411" s="1" t="str">
        <f>_xlfn.XLOOKUP(C4411,Product!A:A,Product!B:B,"not found",0)</f>
        <v>Surly Krampus - 2018</v>
      </c>
      <c r="I4411" s="1">
        <f t="shared" si="137"/>
        <v>2997.8</v>
      </c>
    </row>
    <row r="4412" spans="1:9" x14ac:dyDescent="0.2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 s="1">
        <f t="shared" si="136"/>
        <v>909.92</v>
      </c>
      <c r="H4412" s="1" t="str">
        <f>_xlfn.XLOOKUP(C4412,Product!A:A,Product!B:B,"not found",0)</f>
        <v>Electra Straight 8 3i - 2018</v>
      </c>
      <c r="I4412" s="1">
        <f t="shared" si="137"/>
        <v>909.92</v>
      </c>
    </row>
    <row r="4413" spans="1:9" x14ac:dyDescent="0.2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 s="1">
        <f t="shared" si="136"/>
        <v>749.89</v>
      </c>
      <c r="H4413" s="1" t="str">
        <f>_xlfn.XLOOKUP(C4413,Product!A:A,Product!B:B,"not found",0)</f>
        <v>Trek Domane AL 2 Women's - 2018</v>
      </c>
      <c r="I4413" s="1">
        <f t="shared" si="137"/>
        <v>749.89</v>
      </c>
    </row>
    <row r="4414" spans="1:9" x14ac:dyDescent="0.2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 s="1">
        <f t="shared" si="136"/>
        <v>9999.93</v>
      </c>
      <c r="H4414" s="1" t="str">
        <f>_xlfn.XLOOKUP(C4414,Product!A:A,Product!B:B,"not found",0)</f>
        <v>Trek Powerfly 8 FS Plus - 2017</v>
      </c>
      <c r="I4414" s="1">
        <f t="shared" si="137"/>
        <v>9999.93</v>
      </c>
    </row>
    <row r="4415" spans="1:9" x14ac:dyDescent="0.2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 s="1">
        <f t="shared" si="136"/>
        <v>4599.9299999999994</v>
      </c>
      <c r="H4415" s="1" t="str">
        <f>_xlfn.XLOOKUP(C4415,Product!A:A,Product!B:B,"not found",0)</f>
        <v>Trek Emonda ALR 6 - 2018</v>
      </c>
      <c r="I4415" s="1">
        <f t="shared" si="137"/>
        <v>4599.9299999999994</v>
      </c>
    </row>
    <row r="4416" spans="1:9" x14ac:dyDescent="0.2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 s="1">
        <f t="shared" si="136"/>
        <v>1799.88</v>
      </c>
      <c r="H4416" s="1" t="str">
        <f>_xlfn.XLOOKUP(C4416,Product!A:A,Product!B:B,"not found",0)</f>
        <v>Electra Townie Commute 27D Ladies - 2018</v>
      </c>
      <c r="I4416" s="1">
        <f t="shared" si="137"/>
        <v>1799.88</v>
      </c>
    </row>
    <row r="4417" spans="1:9" x14ac:dyDescent="0.2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 s="1">
        <f t="shared" si="136"/>
        <v>9999.93</v>
      </c>
      <c r="H4417" s="1" t="str">
        <f>_xlfn.XLOOKUP(C4417,Product!A:A,Product!B:B,"not found",0)</f>
        <v>Trek Powerfly 7 FS - 2018</v>
      </c>
      <c r="I4417" s="1">
        <f t="shared" si="137"/>
        <v>9999.93</v>
      </c>
    </row>
    <row r="4418" spans="1:9" x14ac:dyDescent="0.2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 s="1">
        <f t="shared" si="136"/>
        <v>1999.78</v>
      </c>
      <c r="H4418" s="1" t="str">
        <f>_xlfn.XLOOKUP(C4418,Product!A:A,Product!B:B,"not found",0)</f>
        <v>Surly Big Dummy Frameset - 2017</v>
      </c>
      <c r="I4418" s="1">
        <f t="shared" si="137"/>
        <v>1999.78</v>
      </c>
    </row>
    <row r="4419" spans="1:9" x14ac:dyDescent="0.2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 s="1">
        <f t="shared" ref="G4419:G4482" si="138">(E4419*D4419)-F4419</f>
        <v>6999.8799999999992</v>
      </c>
      <c r="H4419" s="1" t="str">
        <f>_xlfn.XLOOKUP(C4419,Product!A:A,Product!B:B,"not found",0)</f>
        <v>Trek Powerfly 5 Women's - 2018</v>
      </c>
      <c r="I4419" s="1">
        <f t="shared" ref="I4419:I4482" si="139">(D4419*E4419)-F4419</f>
        <v>6999.8799999999992</v>
      </c>
    </row>
    <row r="4420" spans="1:9" x14ac:dyDescent="0.2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 s="1">
        <f t="shared" si="138"/>
        <v>1799.93</v>
      </c>
      <c r="H4420" s="1" t="str">
        <f>_xlfn.XLOOKUP(C4420,Product!A:A,Product!B:B,"not found",0)</f>
        <v>Electra Townie Commute 27D Ladies - 2018</v>
      </c>
      <c r="I4420" s="1">
        <f t="shared" si="139"/>
        <v>1799.93</v>
      </c>
    </row>
    <row r="4421" spans="1:9" x14ac:dyDescent="0.2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 s="1">
        <f t="shared" si="138"/>
        <v>4999.8899999999994</v>
      </c>
      <c r="H4421" s="1" t="str">
        <f>_xlfn.XLOOKUP(C4421,Product!A:A,Product!B:B,"not found",0)</f>
        <v>Trek Fuel EX 9.8 29 - 2017</v>
      </c>
      <c r="I4421" s="1">
        <f t="shared" si="139"/>
        <v>4999.8899999999994</v>
      </c>
    </row>
    <row r="4422" spans="1:9" x14ac:dyDescent="0.2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 s="1">
        <f t="shared" si="138"/>
        <v>1919.78</v>
      </c>
      <c r="H4422" s="1" t="str">
        <f>_xlfn.XLOOKUP(C4422,Product!A:A,Product!B:B,"not found",0)</f>
        <v>Trek CrossRip 1 - 2018</v>
      </c>
      <c r="I4422" s="1">
        <f t="shared" si="139"/>
        <v>1919.78</v>
      </c>
    </row>
    <row r="4423" spans="1:9" x14ac:dyDescent="0.2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 s="1">
        <f t="shared" si="138"/>
        <v>6399.8799999999992</v>
      </c>
      <c r="H4423" s="1" t="str">
        <f>_xlfn.XLOOKUP(C4423,Product!A:A,Product!B:B,"not found",0)</f>
        <v>Trek Domane ALR Disc Frameset - 2018</v>
      </c>
      <c r="I4423" s="1">
        <f t="shared" si="139"/>
        <v>6399.8799999999992</v>
      </c>
    </row>
    <row r="4424" spans="1:9" x14ac:dyDescent="0.2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 s="1">
        <f t="shared" si="138"/>
        <v>2599.89</v>
      </c>
      <c r="H4424" s="1" t="str">
        <f>_xlfn.XLOOKUP(C4424,Product!A:A,Product!B:B,"not found",0)</f>
        <v>Electra Townie Go! 8i Ladies' - 2018</v>
      </c>
      <c r="I4424" s="1">
        <f t="shared" si="139"/>
        <v>2599.89</v>
      </c>
    </row>
    <row r="4425" spans="1:9" x14ac:dyDescent="0.2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 s="1">
        <f t="shared" si="138"/>
        <v>4599.78</v>
      </c>
      <c r="H4425" s="1" t="str">
        <f>_xlfn.XLOOKUP(C4425,Product!A:A,Product!B:B,"not found",0)</f>
        <v>Trek Verve+ - 2018</v>
      </c>
      <c r="I4425" s="1">
        <f t="shared" si="139"/>
        <v>4599.78</v>
      </c>
    </row>
    <row r="4426" spans="1:9" x14ac:dyDescent="0.2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 s="1">
        <f t="shared" si="138"/>
        <v>2399.7800000000002</v>
      </c>
      <c r="H4426" s="1" t="str">
        <f>_xlfn.XLOOKUP(C4426,Product!A:A,Product!B:B,"not found",0)</f>
        <v>Electra Amsterdam Royal 8i Ladies - 2018</v>
      </c>
      <c r="I4426" s="1">
        <f t="shared" si="139"/>
        <v>2399.7800000000002</v>
      </c>
    </row>
    <row r="4427" spans="1:9" x14ac:dyDescent="0.2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 s="1">
        <f t="shared" si="138"/>
        <v>419.78000000000003</v>
      </c>
      <c r="H4427" s="1" t="str">
        <f>_xlfn.XLOOKUP(C4427,Product!A:A,Product!B:B,"not found",0)</f>
        <v>Trek Precaliber 16 Girl's - 2018</v>
      </c>
      <c r="I4427" s="1">
        <f t="shared" si="139"/>
        <v>419.78000000000003</v>
      </c>
    </row>
    <row r="4428" spans="1:9" x14ac:dyDescent="0.2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 s="1">
        <f t="shared" si="138"/>
        <v>5199.91</v>
      </c>
      <c r="H4428" s="1" t="str">
        <f>_xlfn.XLOOKUP(C4428,Product!A:A,Product!B:B,"not found",0)</f>
        <v>Electra Townie Go! 8i - 2017/2018</v>
      </c>
      <c r="I4428" s="1">
        <f t="shared" si="139"/>
        <v>5199.91</v>
      </c>
    </row>
    <row r="4429" spans="1:9" x14ac:dyDescent="0.2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 s="1">
        <f t="shared" si="138"/>
        <v>1359.93</v>
      </c>
      <c r="H4429" s="1" t="str">
        <f>_xlfn.XLOOKUP(C4429,Product!A:A,Product!B:B,"not found",0)</f>
        <v>Electra Townie Original 21D EQ - 2017/2018</v>
      </c>
      <c r="I4429" s="1">
        <f t="shared" si="139"/>
        <v>1359.93</v>
      </c>
    </row>
    <row r="4430" spans="1:9" x14ac:dyDescent="0.2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 s="1">
        <f t="shared" si="138"/>
        <v>1359.88</v>
      </c>
      <c r="H4430" s="1" t="str">
        <f>_xlfn.XLOOKUP(C4430,Product!A:A,Product!B:B,"not found",0)</f>
        <v>Electra Townie Original 21D EQ - 2017/2018</v>
      </c>
      <c r="I4430" s="1">
        <f t="shared" si="139"/>
        <v>1359.88</v>
      </c>
    </row>
    <row r="4431" spans="1:9" x14ac:dyDescent="0.2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 s="1">
        <f t="shared" si="138"/>
        <v>4999.9299999999994</v>
      </c>
      <c r="H4431" s="1" t="str">
        <f>_xlfn.XLOOKUP(C4431,Product!A:A,Product!B:B,"not found",0)</f>
        <v>Trek Domane SL 5 Disc - 2018</v>
      </c>
      <c r="I4431" s="1">
        <f t="shared" si="139"/>
        <v>4999.9299999999994</v>
      </c>
    </row>
    <row r="4432" spans="1:9" x14ac:dyDescent="0.2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 s="1">
        <f t="shared" si="138"/>
        <v>5999.9299999999994</v>
      </c>
      <c r="H4432" s="1" t="str">
        <f>_xlfn.XLOOKUP(C4432,Product!A:A,Product!B:B,"not found",0)</f>
        <v>Electra Townie Commute Go! Ladies' - 2018</v>
      </c>
      <c r="I4432" s="1">
        <f t="shared" si="139"/>
        <v>5999.9299999999994</v>
      </c>
    </row>
    <row r="4433" spans="1:9" x14ac:dyDescent="0.2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 s="1">
        <f t="shared" si="138"/>
        <v>4499.79</v>
      </c>
      <c r="H4433" s="1" t="str">
        <f>_xlfn.XLOOKUP(C4433,Product!A:A,Product!B:B,"not found",0)</f>
        <v>Trek Emonda SL 7 - 2018</v>
      </c>
      <c r="I4433" s="1">
        <f t="shared" si="139"/>
        <v>4499.79</v>
      </c>
    </row>
    <row r="4434" spans="1:9" x14ac:dyDescent="0.2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 s="1">
        <f t="shared" si="138"/>
        <v>659.78</v>
      </c>
      <c r="H4434" s="1" t="str">
        <f>_xlfn.XLOOKUP(C4434,Product!A:A,Product!B:B,"not found",0)</f>
        <v>Haro Downtown 16 - 2017</v>
      </c>
      <c r="I4434" s="1">
        <f t="shared" si="139"/>
        <v>659.78</v>
      </c>
    </row>
    <row r="4435" spans="1:9" x14ac:dyDescent="0.2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 s="1">
        <f t="shared" si="138"/>
        <v>2997.93</v>
      </c>
      <c r="H4435" s="1" t="str">
        <f>_xlfn.XLOOKUP(C4435,Product!A:A,Product!B:B,"not found",0)</f>
        <v>Surly Krampus - 2018</v>
      </c>
      <c r="I4435" s="1">
        <f t="shared" si="139"/>
        <v>2997.93</v>
      </c>
    </row>
    <row r="4436" spans="1:9" x14ac:dyDescent="0.2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 s="1">
        <f t="shared" si="138"/>
        <v>346.79</v>
      </c>
      <c r="H4436" s="1" t="str">
        <f>_xlfn.XLOOKUP(C4436,Product!A:A,Product!B:B,"not found",0)</f>
        <v>Sun Bicycles Lil Bolt Type-R - 2017</v>
      </c>
      <c r="I4436" s="1">
        <f t="shared" si="139"/>
        <v>346.79</v>
      </c>
    </row>
    <row r="4437" spans="1:9" x14ac:dyDescent="0.2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 s="1">
        <f t="shared" si="138"/>
        <v>579.93000000000006</v>
      </c>
      <c r="H4437" s="1" t="str">
        <f>_xlfn.XLOOKUP(C4437,Product!A:A,Product!B:B,"not found",0)</f>
        <v>Strider Strider 20 Sport - 2018</v>
      </c>
      <c r="I4437" s="1">
        <f t="shared" si="139"/>
        <v>579.93000000000006</v>
      </c>
    </row>
    <row r="4438" spans="1:9" x14ac:dyDescent="0.2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 s="1">
        <f t="shared" si="138"/>
        <v>4499.9399999999996</v>
      </c>
      <c r="H4438" s="1" t="str">
        <f>_xlfn.XLOOKUP(C4438,Product!A:A,Product!B:B,"not found",0)</f>
        <v>Trek CrossRip+ - 2018</v>
      </c>
      <c r="I4438" s="1">
        <f t="shared" si="139"/>
        <v>4499.9399999999996</v>
      </c>
    </row>
    <row r="4439" spans="1:9" x14ac:dyDescent="0.2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 s="1">
        <f t="shared" si="138"/>
        <v>6999.78</v>
      </c>
      <c r="H4439" s="1" t="str">
        <f>_xlfn.XLOOKUP(C4439,Product!A:A,Product!B:B,"not found",0)</f>
        <v>Trek XM700+ Lowstep - 2018</v>
      </c>
      <c r="I4439" s="1">
        <f t="shared" si="139"/>
        <v>6999.78</v>
      </c>
    </row>
    <row r="4440" spans="1:9" x14ac:dyDescent="0.2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 s="1">
        <f t="shared" si="138"/>
        <v>1799.91</v>
      </c>
      <c r="H4440" s="1" t="str">
        <f>_xlfn.XLOOKUP(C4440,Product!A:A,Product!B:B,"not found",0)</f>
        <v>Electra Townie Commute 27D Ladies - 2018</v>
      </c>
      <c r="I4440" s="1">
        <f t="shared" si="139"/>
        <v>1799.91</v>
      </c>
    </row>
    <row r="4441" spans="1:9" x14ac:dyDescent="0.2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 s="1">
        <f t="shared" si="138"/>
        <v>179.88</v>
      </c>
      <c r="H4441" s="1" t="str">
        <f>_xlfn.XLOOKUP(C4441,Product!A:A,Product!B:B,"not found",0)</f>
        <v>Strider Classic 12 Balance Bike - 2018</v>
      </c>
      <c r="I4441" s="1">
        <f t="shared" si="139"/>
        <v>179.88</v>
      </c>
    </row>
    <row r="4442" spans="1:9" x14ac:dyDescent="0.2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 s="1">
        <f t="shared" si="138"/>
        <v>489.79</v>
      </c>
      <c r="H4442" s="1" t="str">
        <f>_xlfn.XLOOKUP(C4442,Product!A:A,Product!B:B,"not found",0)</f>
        <v>Electra Townie 3i EQ (20-inch) - Boys' - 2017</v>
      </c>
      <c r="I4442" s="1">
        <f t="shared" si="139"/>
        <v>489.79</v>
      </c>
    </row>
    <row r="4443" spans="1:9" x14ac:dyDescent="0.2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 s="1">
        <f t="shared" si="138"/>
        <v>1359.78</v>
      </c>
      <c r="H4443" s="1" t="str">
        <f>_xlfn.XLOOKUP(C4443,Product!A:A,Product!B:B,"not found",0)</f>
        <v>Electra Townie Original 21D EQ Ladies' - 2018</v>
      </c>
      <c r="I4443" s="1">
        <f t="shared" si="139"/>
        <v>1359.78</v>
      </c>
    </row>
    <row r="4444" spans="1:9" x14ac:dyDescent="0.2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 s="1">
        <f t="shared" si="138"/>
        <v>999.89</v>
      </c>
      <c r="H4444" s="1" t="str">
        <f>_xlfn.XLOOKUP(C4444,Product!A:A,Product!B:B,"not found",0)</f>
        <v>Trek Farley Carbon Frameset - 2018</v>
      </c>
      <c r="I4444" s="1">
        <f t="shared" si="139"/>
        <v>999.89</v>
      </c>
    </row>
    <row r="4445" spans="1:9" x14ac:dyDescent="0.2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 s="1">
        <f t="shared" si="138"/>
        <v>2999.78</v>
      </c>
      <c r="H4445" s="1" t="str">
        <f>_xlfn.XLOOKUP(C4445,Product!A:A,Product!B:B,"not found",0)</f>
        <v>Trek X-Caliber Frameset - 2018</v>
      </c>
      <c r="I4445" s="1">
        <f t="shared" si="139"/>
        <v>2999.78</v>
      </c>
    </row>
    <row r="4446" spans="1:9" x14ac:dyDescent="0.2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 s="1">
        <f t="shared" si="138"/>
        <v>299.89</v>
      </c>
      <c r="H4446" s="1" t="str">
        <f>_xlfn.XLOOKUP(C4446,Product!A:A,Product!B:B,"not found",0)</f>
        <v>Electra Girl's Hawaii 1 16" - 2017</v>
      </c>
      <c r="I4446" s="1">
        <f t="shared" si="139"/>
        <v>299.89</v>
      </c>
    </row>
    <row r="4447" spans="1:9" x14ac:dyDescent="0.2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 s="1">
        <f t="shared" si="138"/>
        <v>1599.92</v>
      </c>
      <c r="H4447" s="1" t="str">
        <f>_xlfn.XLOOKUP(C4447,Product!A:A,Product!B:B,"not found",0)</f>
        <v>Trek Stache 5 - 2018</v>
      </c>
      <c r="I4447" s="1">
        <f t="shared" si="139"/>
        <v>1599.92</v>
      </c>
    </row>
    <row r="4448" spans="1:9" x14ac:dyDescent="0.2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 s="1">
        <f t="shared" si="138"/>
        <v>1469.92</v>
      </c>
      <c r="H4448" s="1" t="str">
        <f>_xlfn.XLOOKUP(C4448,Product!A:A,Product!B:B,"not found",0)</f>
        <v>Trek Ticket S Frame - 2018</v>
      </c>
      <c r="I4448" s="1">
        <f t="shared" si="139"/>
        <v>1469.92</v>
      </c>
    </row>
    <row r="4449" spans="1:9" x14ac:dyDescent="0.2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 s="1">
        <f t="shared" si="138"/>
        <v>1499.78</v>
      </c>
      <c r="H4449" s="1" t="str">
        <f>_xlfn.XLOOKUP(C4449,Product!A:A,Product!B:B,"not found",0)</f>
        <v>Electra Townie Commute 8D - 2018</v>
      </c>
      <c r="I4449" s="1">
        <f t="shared" si="139"/>
        <v>1499.78</v>
      </c>
    </row>
    <row r="4450" spans="1:9" x14ac:dyDescent="0.2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 s="1">
        <f t="shared" si="138"/>
        <v>1548.9</v>
      </c>
      <c r="H4450" s="1" t="str">
        <f>_xlfn.XLOOKUP(C4450,Product!A:A,Product!B:B,"not found",0)</f>
        <v>Surly Straggler - 2018</v>
      </c>
      <c r="I4450" s="1">
        <f t="shared" si="139"/>
        <v>1548.9</v>
      </c>
    </row>
    <row r="4451" spans="1:9" x14ac:dyDescent="0.2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 s="1">
        <f t="shared" si="138"/>
        <v>639.78</v>
      </c>
      <c r="H4451" s="1" t="str">
        <f>_xlfn.XLOOKUP(C4451,Product!A:A,Product!B:B,"not found",0)</f>
        <v>Electra Treasure 1 20" - 2018</v>
      </c>
      <c r="I4451" s="1">
        <f t="shared" si="139"/>
        <v>639.78</v>
      </c>
    </row>
    <row r="4452" spans="1:9" x14ac:dyDescent="0.2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 s="1">
        <f t="shared" si="138"/>
        <v>449.79</v>
      </c>
      <c r="H4452" s="1" t="str">
        <f>_xlfn.XLOOKUP(C4452,Product!A:A,Product!B:B,"not found",0)</f>
        <v>Electra Townie Original 1 Ladies' - 2018</v>
      </c>
      <c r="I4452" s="1">
        <f t="shared" si="139"/>
        <v>449.79</v>
      </c>
    </row>
    <row r="4453" spans="1:9" x14ac:dyDescent="0.2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 s="1">
        <f t="shared" si="138"/>
        <v>5999.78</v>
      </c>
      <c r="H4453" s="1" t="str">
        <f>_xlfn.XLOOKUP(C4453,Product!A:A,Product!B:B,"not found",0)</f>
        <v>Electra Townie Commute Go! Ladies' - 2018</v>
      </c>
      <c r="I4453" s="1">
        <f t="shared" si="139"/>
        <v>5999.78</v>
      </c>
    </row>
    <row r="4454" spans="1:9" x14ac:dyDescent="0.2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 s="1">
        <f t="shared" si="138"/>
        <v>6499.8899999999994</v>
      </c>
      <c r="H4454" s="1" t="str">
        <f>_xlfn.XLOOKUP(C4454,Product!A:A,Product!B:B,"not found",0)</f>
        <v>Trek Domane SL Frameset - 2018</v>
      </c>
      <c r="I4454" s="1">
        <f t="shared" si="139"/>
        <v>6499.8899999999994</v>
      </c>
    </row>
    <row r="4455" spans="1:9" x14ac:dyDescent="0.2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 s="1">
        <f t="shared" si="138"/>
        <v>2697.93</v>
      </c>
      <c r="H4455" s="1" t="str">
        <f>_xlfn.XLOOKUP(C4455,Product!A:A,Product!B:B,"not found",0)</f>
        <v>Surly Pack Rat - 2018</v>
      </c>
      <c r="I4455" s="1">
        <f t="shared" si="139"/>
        <v>2697.93</v>
      </c>
    </row>
    <row r="4456" spans="1:9" x14ac:dyDescent="0.2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 s="1">
        <f t="shared" si="138"/>
        <v>2799.9199999999996</v>
      </c>
      <c r="H4456" s="1" t="str">
        <f>_xlfn.XLOOKUP(C4456,Product!A:A,Product!B:B,"not found",0)</f>
        <v>Trek Lift+ - 2018</v>
      </c>
      <c r="I4456" s="1">
        <f t="shared" si="139"/>
        <v>2799.9199999999996</v>
      </c>
    </row>
    <row r="4457" spans="1:9" x14ac:dyDescent="0.2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 s="1">
        <f t="shared" si="138"/>
        <v>1549.92</v>
      </c>
      <c r="H4457" s="1" t="str">
        <f>_xlfn.XLOOKUP(C4457,Product!A:A,Product!B:B,"not found",0)</f>
        <v>Trek Domane ALR 4 Disc Women's - 2018</v>
      </c>
      <c r="I4457" s="1">
        <f t="shared" si="139"/>
        <v>1549.92</v>
      </c>
    </row>
    <row r="4458" spans="1:9" x14ac:dyDescent="0.2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 s="1">
        <f t="shared" si="138"/>
        <v>5499.8899999999994</v>
      </c>
      <c r="H4458" s="1" t="str">
        <f>_xlfn.XLOOKUP(C4458,Product!A:A,Product!B:B,"not found",0)</f>
        <v>Trek Domane SLR 6 Disc - 2017</v>
      </c>
      <c r="I4458" s="1">
        <f t="shared" si="139"/>
        <v>5499.8899999999994</v>
      </c>
    </row>
    <row r="4459" spans="1:9" x14ac:dyDescent="0.2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 s="1">
        <f t="shared" si="138"/>
        <v>749.89</v>
      </c>
      <c r="H4459" s="1" t="str">
        <f>_xlfn.XLOOKUP(C4459,Product!A:A,Product!B:B,"not found",0)</f>
        <v>Electra Townie Balloon 8D EQ - 2016/2017/2018</v>
      </c>
      <c r="I4459" s="1">
        <f t="shared" si="139"/>
        <v>749.89</v>
      </c>
    </row>
    <row r="4460" spans="1:9" x14ac:dyDescent="0.2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 s="1">
        <f t="shared" si="138"/>
        <v>679.94</v>
      </c>
      <c r="H4460" s="1" t="str">
        <f>_xlfn.XLOOKUP(C4460,Product!A:A,Product!B:B,"not found",0)</f>
        <v>Electra Townie Original 21D EQ Ladies' - 2018</v>
      </c>
      <c r="I4460" s="1">
        <f t="shared" si="139"/>
        <v>679.94</v>
      </c>
    </row>
    <row r="4461" spans="1:9" x14ac:dyDescent="0.2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 s="1">
        <f t="shared" si="138"/>
        <v>469.89</v>
      </c>
      <c r="H4461" s="1" t="str">
        <f>_xlfn.XLOOKUP(C4461,Product!A:A,Product!B:B,"not found",0)</f>
        <v>Surly Wednesday Frameset - 2017</v>
      </c>
      <c r="I4461" s="1">
        <f t="shared" si="139"/>
        <v>469.89</v>
      </c>
    </row>
    <row r="4462" spans="1:9" x14ac:dyDescent="0.2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 s="1">
        <f t="shared" si="138"/>
        <v>551.94000000000005</v>
      </c>
      <c r="H4462" s="1" t="str">
        <f>_xlfn.XLOOKUP(C4462,Product!A:A,Product!B:B,"not found",0)</f>
        <v>Sun Bicycles Streamway 3 - 2017</v>
      </c>
      <c r="I4462" s="1">
        <f t="shared" si="139"/>
        <v>551.94000000000005</v>
      </c>
    </row>
    <row r="4463" spans="1:9" x14ac:dyDescent="0.2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 s="1">
        <f t="shared" si="138"/>
        <v>3999.93</v>
      </c>
      <c r="H4463" s="1" t="str">
        <f>_xlfn.XLOOKUP(C4463,Product!A:A,Product!B:B,"not found",0)</f>
        <v>Trek Emonda S 5 - 2017</v>
      </c>
      <c r="I4463" s="1">
        <f t="shared" si="139"/>
        <v>3999.93</v>
      </c>
    </row>
    <row r="4464" spans="1:9" x14ac:dyDescent="0.2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 s="1">
        <f t="shared" si="138"/>
        <v>859.78</v>
      </c>
      <c r="H4464" s="1" t="str">
        <f>_xlfn.XLOOKUP(C4464,Product!A:A,Product!B:B,"not found",0)</f>
        <v>Electra Cruiser Lux 1 - 2016/2018</v>
      </c>
      <c r="I4464" s="1">
        <f t="shared" si="139"/>
        <v>859.78</v>
      </c>
    </row>
    <row r="4465" spans="1:9" x14ac:dyDescent="0.2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 s="1">
        <f t="shared" si="138"/>
        <v>299.94</v>
      </c>
      <c r="H4465" s="1" t="str">
        <f>_xlfn.XLOOKUP(C4465,Product!A:A,Product!B:B,"not found",0)</f>
        <v>Electra Girl's Hawaii 1 (20-inch) - 2015/2016</v>
      </c>
      <c r="I4465" s="1">
        <f t="shared" si="139"/>
        <v>299.94</v>
      </c>
    </row>
    <row r="4466" spans="1:9" x14ac:dyDescent="0.2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 s="1">
        <f t="shared" si="138"/>
        <v>11999.88</v>
      </c>
      <c r="H4466" s="1" t="str">
        <f>_xlfn.XLOOKUP(C4466,Product!A:A,Product!B:B,"not found",0)</f>
        <v>Trek Silque SLR 7 Women's - 2017</v>
      </c>
      <c r="I4466" s="1">
        <f t="shared" si="139"/>
        <v>11999.88</v>
      </c>
    </row>
    <row r="4467" spans="1:9" x14ac:dyDescent="0.2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 s="1">
        <f t="shared" si="138"/>
        <v>539.88</v>
      </c>
      <c r="H4467" s="1" t="str">
        <f>_xlfn.XLOOKUP(C4467,Product!A:A,Product!B:B,"not found",0)</f>
        <v>Electra Cruiser 1 - 2016/2017/2018</v>
      </c>
      <c r="I4467" s="1">
        <f t="shared" si="139"/>
        <v>539.88</v>
      </c>
    </row>
    <row r="4468" spans="1:9" x14ac:dyDescent="0.2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 s="1">
        <f t="shared" si="138"/>
        <v>749.89</v>
      </c>
      <c r="H4468" s="1" t="str">
        <f>_xlfn.XLOOKUP(C4468,Product!A:A,Product!B:B,"not found",0)</f>
        <v>Trek Marlin 7 - 2017/2018</v>
      </c>
      <c r="I4468" s="1">
        <f t="shared" si="139"/>
        <v>749.89</v>
      </c>
    </row>
    <row r="4469" spans="1:9" x14ac:dyDescent="0.2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 s="1">
        <f t="shared" si="138"/>
        <v>1898.9</v>
      </c>
      <c r="H4469" s="1" t="str">
        <f>_xlfn.XLOOKUP(C4469,Product!A:A,Product!B:B,"not found",0)</f>
        <v>Surly ECR 27.5 - 2018</v>
      </c>
      <c r="I4469" s="1">
        <f t="shared" si="139"/>
        <v>1898.9</v>
      </c>
    </row>
    <row r="4470" spans="1:9" x14ac:dyDescent="0.2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 s="1">
        <f t="shared" si="138"/>
        <v>5999.91</v>
      </c>
      <c r="H4470" s="1" t="str">
        <f>_xlfn.XLOOKUP(C4470,Product!A:A,Product!B:B,"not found",0)</f>
        <v>Trek Crockett 7 Disc - 2018</v>
      </c>
      <c r="I4470" s="1">
        <f t="shared" si="139"/>
        <v>5999.91</v>
      </c>
    </row>
    <row r="4471" spans="1:9" x14ac:dyDescent="0.2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 s="1">
        <f t="shared" si="138"/>
        <v>459.88</v>
      </c>
      <c r="H4471" s="1" t="str">
        <f>_xlfn.XLOOKUP(C4471,Product!A:A,Product!B:B,"not found",0)</f>
        <v>Trek Precaliber 20 Boy's - 2018</v>
      </c>
      <c r="I4471" s="1">
        <f t="shared" si="139"/>
        <v>459.88</v>
      </c>
    </row>
    <row r="4472" spans="1:9" x14ac:dyDescent="0.2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 s="1">
        <f t="shared" si="138"/>
        <v>647.89</v>
      </c>
      <c r="H4472" s="1" t="str">
        <f>_xlfn.XLOOKUP(C4472,Product!A:A,Product!B:B,"not found",0)</f>
        <v>Sun Bicycles Biscayne Tandem CB - 2017</v>
      </c>
      <c r="I4472" s="1">
        <f t="shared" si="139"/>
        <v>647.89</v>
      </c>
    </row>
    <row r="4473" spans="1:9" x14ac:dyDescent="0.2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 s="1">
        <f t="shared" si="138"/>
        <v>349.89</v>
      </c>
      <c r="H4473" s="1" t="str">
        <f>_xlfn.XLOOKUP(C4473,Product!A:A,Product!B:B,"not found",0)</f>
        <v>Electra Moto 3i (20-inch) - Boy's - 2017</v>
      </c>
      <c r="I4473" s="1">
        <f t="shared" si="139"/>
        <v>349.89</v>
      </c>
    </row>
    <row r="4474" spans="1:9" x14ac:dyDescent="0.2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 s="1">
        <f t="shared" si="138"/>
        <v>1799.88</v>
      </c>
      <c r="H4474" s="1" t="str">
        <f>_xlfn.XLOOKUP(C4474,Product!A:A,Product!B:B,"not found",0)</f>
        <v>Electra Koa 3i Ladies' - 2018</v>
      </c>
      <c r="I4474" s="1">
        <f t="shared" si="139"/>
        <v>1799.88</v>
      </c>
    </row>
    <row r="4475" spans="1:9" x14ac:dyDescent="0.2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 s="1">
        <f t="shared" si="138"/>
        <v>6499.8899999999994</v>
      </c>
      <c r="H4475" s="1" t="str">
        <f>_xlfn.XLOOKUP(C4475,Product!A:A,Product!B:B,"not found",0)</f>
        <v>Trek Silque SLR 8 Women's - 2017</v>
      </c>
      <c r="I4475" s="1">
        <f t="shared" si="139"/>
        <v>6499.8899999999994</v>
      </c>
    </row>
    <row r="4476" spans="1:9" x14ac:dyDescent="0.2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 s="1">
        <f t="shared" si="138"/>
        <v>3499.89</v>
      </c>
      <c r="H4476" s="1" t="str">
        <f>_xlfn.XLOOKUP(C4476,Product!A:A,Product!B:B,"not found",0)</f>
        <v>Trek XM700+ - 2018</v>
      </c>
      <c r="I4476" s="1">
        <f t="shared" si="139"/>
        <v>3499.89</v>
      </c>
    </row>
    <row r="4477" spans="1:9" x14ac:dyDescent="0.2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 s="1">
        <f t="shared" si="138"/>
        <v>1469.94</v>
      </c>
      <c r="H4477" s="1" t="str">
        <f>_xlfn.XLOOKUP(C4477,Product!A:A,Product!B:B,"not found",0)</f>
        <v>Trek Ticket S Frame - 2018</v>
      </c>
      <c r="I4477" s="1">
        <f t="shared" si="139"/>
        <v>1469.94</v>
      </c>
    </row>
    <row r="4478" spans="1:9" x14ac:dyDescent="0.2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 s="1">
        <f t="shared" si="138"/>
        <v>399.78000000000003</v>
      </c>
      <c r="H4478" s="1" t="str">
        <f>_xlfn.XLOOKUP(C4478,Product!A:A,Product!B:B,"not found",0)</f>
        <v>Trek Precaliber 12 Boy's - 2018</v>
      </c>
      <c r="I4478" s="1">
        <f t="shared" si="139"/>
        <v>399.78000000000003</v>
      </c>
    </row>
    <row r="4479" spans="1:9" x14ac:dyDescent="0.2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 s="1">
        <f t="shared" si="138"/>
        <v>6399.78</v>
      </c>
      <c r="H4479" s="1" t="str">
        <f>_xlfn.XLOOKUP(C4479,Product!A:A,Product!B:B,"not found",0)</f>
        <v>Trek Domane ALR Disc Frameset - 2018</v>
      </c>
      <c r="I4479" s="1">
        <f t="shared" si="139"/>
        <v>6399.78</v>
      </c>
    </row>
    <row r="4480" spans="1:9" x14ac:dyDescent="0.2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 s="1">
        <f t="shared" si="138"/>
        <v>209.94</v>
      </c>
      <c r="H4480" s="1" t="str">
        <f>_xlfn.XLOOKUP(C4480,Product!A:A,Product!B:B,"not found",0)</f>
        <v>Haro Shredder 20 - 2017</v>
      </c>
      <c r="I4480" s="1">
        <f t="shared" si="139"/>
        <v>209.94</v>
      </c>
    </row>
    <row r="4481" spans="1:9" x14ac:dyDescent="0.2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 s="1">
        <f t="shared" si="138"/>
        <v>1199.93</v>
      </c>
      <c r="H4481" s="1" t="str">
        <f>_xlfn.XLOOKUP(C4481,Product!A:A,Product!B:B,"not found",0)</f>
        <v>Electra Cruiser Lux Fat Tire 1 Ladies - 2017</v>
      </c>
      <c r="I4481" s="1">
        <f t="shared" si="139"/>
        <v>1199.93</v>
      </c>
    </row>
    <row r="4482" spans="1:9" x14ac:dyDescent="0.2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 s="1">
        <f t="shared" si="138"/>
        <v>2199.79</v>
      </c>
      <c r="H4482" s="1" t="str">
        <f>_xlfn.XLOOKUP(C4482,Product!A:A,Product!B:B,"not found",0)</f>
        <v>Trek Domane SL 5 Women's - 2018</v>
      </c>
      <c r="I4482" s="1">
        <f t="shared" si="139"/>
        <v>2199.79</v>
      </c>
    </row>
    <row r="4483" spans="1:9" x14ac:dyDescent="0.2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 s="1">
        <f t="shared" ref="G4483:G4546" si="140">(E4483*D4483)-F4483</f>
        <v>5599.91</v>
      </c>
      <c r="H4483" s="1" t="str">
        <f>_xlfn.XLOOKUP(C4483,Product!A:A,Product!B:B,"not found",0)</f>
        <v>Trek Conduit+ - 2018</v>
      </c>
      <c r="I4483" s="1">
        <f t="shared" ref="I4483:I4546" si="141">(D4483*E4483)-F4483</f>
        <v>5599.91</v>
      </c>
    </row>
    <row r="4484" spans="1:9" x14ac:dyDescent="0.2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 s="1">
        <f t="shared" si="140"/>
        <v>4599.78</v>
      </c>
      <c r="H4484" s="1" t="str">
        <f>_xlfn.XLOOKUP(C4484,Product!A:A,Product!B:B,"not found",0)</f>
        <v>Trek Verve+ - 2018</v>
      </c>
      <c r="I4484" s="1">
        <f t="shared" si="141"/>
        <v>4599.78</v>
      </c>
    </row>
    <row r="4485" spans="1:9" x14ac:dyDescent="0.2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 s="1">
        <f t="shared" si="140"/>
        <v>1699.93</v>
      </c>
      <c r="H4485" s="1" t="str">
        <f>_xlfn.XLOOKUP(C4485,Product!A:A,Product!B:B,"not found",0)</f>
        <v>Electra Relic 3i - 2018</v>
      </c>
      <c r="I4485" s="1">
        <f t="shared" si="141"/>
        <v>1699.93</v>
      </c>
    </row>
    <row r="4486" spans="1:9" x14ac:dyDescent="0.2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 s="1">
        <f t="shared" si="140"/>
        <v>3299.9199999999996</v>
      </c>
      <c r="H4486" s="1" t="str">
        <f>_xlfn.XLOOKUP(C4486,Product!A:A,Product!B:B,"not found",0)</f>
        <v>Trek Boone 5 Disc - 2018</v>
      </c>
      <c r="I4486" s="1">
        <f t="shared" si="141"/>
        <v>3299.9199999999996</v>
      </c>
    </row>
    <row r="4487" spans="1:9" x14ac:dyDescent="0.2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 s="1">
        <f t="shared" si="140"/>
        <v>2819.91</v>
      </c>
      <c r="H4487" s="1" t="str">
        <f>_xlfn.XLOOKUP(C4487,Product!A:A,Product!B:B,"not found",0)</f>
        <v>Haro SR 1.3 - 2017</v>
      </c>
      <c r="I4487" s="1">
        <f t="shared" si="141"/>
        <v>2819.91</v>
      </c>
    </row>
    <row r="4488" spans="1:9" x14ac:dyDescent="0.2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 s="1">
        <f t="shared" si="140"/>
        <v>1469.92</v>
      </c>
      <c r="H4488" s="1" t="str">
        <f>_xlfn.XLOOKUP(C4488,Product!A:A,Product!B:B,"not found",0)</f>
        <v>Trek Ticket S Frame - 2018</v>
      </c>
      <c r="I4488" s="1">
        <f t="shared" si="141"/>
        <v>1469.92</v>
      </c>
    </row>
    <row r="4489" spans="1:9" x14ac:dyDescent="0.2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 s="1">
        <f t="shared" si="140"/>
        <v>2299.79</v>
      </c>
      <c r="H4489" s="1" t="str">
        <f>_xlfn.XLOOKUP(C4489,Product!A:A,Product!B:B,"not found",0)</f>
        <v>Trek Verve+ Lowstep - 2018</v>
      </c>
      <c r="I4489" s="1">
        <f t="shared" si="141"/>
        <v>2299.79</v>
      </c>
    </row>
    <row r="4490" spans="1:9" x14ac:dyDescent="0.2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 s="1">
        <f t="shared" si="140"/>
        <v>1799.93</v>
      </c>
      <c r="H4490" s="1" t="str">
        <f>_xlfn.XLOOKUP(C4490,Product!A:A,Product!B:B,"not found",0)</f>
        <v>Electra Townie Balloon 7i EQ Ladies' - 2017/2018</v>
      </c>
      <c r="I4490" s="1">
        <f t="shared" si="141"/>
        <v>1799.93</v>
      </c>
    </row>
    <row r="4491" spans="1:9" x14ac:dyDescent="0.2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 s="1">
        <f t="shared" si="140"/>
        <v>939.93000000000006</v>
      </c>
      <c r="H4491" s="1" t="str">
        <f>_xlfn.XLOOKUP(C4491,Product!A:A,Product!B:B,"not found",0)</f>
        <v>Surly Ice Cream Truck Frameset - 2016</v>
      </c>
      <c r="I4491" s="1">
        <f t="shared" si="141"/>
        <v>939.93000000000006</v>
      </c>
    </row>
    <row r="4492" spans="1:9" x14ac:dyDescent="0.2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 s="1">
        <f t="shared" si="140"/>
        <v>1099.93</v>
      </c>
      <c r="H4492" s="1" t="str">
        <f>_xlfn.XLOOKUP(C4492,Product!A:A,Product!B:B,"not found",0)</f>
        <v>Electra Townie Original 21D - 2016</v>
      </c>
      <c r="I4492" s="1">
        <f t="shared" si="141"/>
        <v>1099.93</v>
      </c>
    </row>
    <row r="4493" spans="1:9" x14ac:dyDescent="0.2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 s="1">
        <f t="shared" si="140"/>
        <v>833.93000000000006</v>
      </c>
      <c r="H4493" s="1" t="str">
        <f>_xlfn.XLOOKUP(C4493,Product!A:A,Product!B:B,"not found",0)</f>
        <v>Sun Bicycles Atlas X-Type - 2017</v>
      </c>
      <c r="I4493" s="1">
        <f t="shared" si="141"/>
        <v>833.93000000000006</v>
      </c>
    </row>
    <row r="4494" spans="1:9" x14ac:dyDescent="0.2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 s="1">
        <f t="shared" si="140"/>
        <v>749.92</v>
      </c>
      <c r="H4494" s="1" t="str">
        <f>_xlfn.XLOOKUP(C4494,Product!A:A,Product!B:B,"not found",0)</f>
        <v>Electra Morningstar 3i Ladies' - 2018</v>
      </c>
      <c r="I4494" s="1">
        <f t="shared" si="141"/>
        <v>749.92</v>
      </c>
    </row>
    <row r="4495" spans="1:9" x14ac:dyDescent="0.2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 s="1">
        <f t="shared" si="140"/>
        <v>479.94</v>
      </c>
      <c r="H4495" s="1" t="str">
        <f>_xlfn.XLOOKUP(C4495,Product!A:A,Product!B:B,"not found",0)</f>
        <v>Electra Cruiser Lux 7D - 2018</v>
      </c>
      <c r="I4495" s="1">
        <f t="shared" si="141"/>
        <v>479.94</v>
      </c>
    </row>
    <row r="4496" spans="1:9" x14ac:dyDescent="0.2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 s="1">
        <f t="shared" si="140"/>
        <v>10999.93</v>
      </c>
      <c r="H4496" s="1" t="str">
        <f>_xlfn.XLOOKUP(C4496,Product!A:A,Product!B:B,"not found",0)</f>
        <v>Trek Domane SLR 6 Disc - 2018</v>
      </c>
      <c r="I4496" s="1">
        <f t="shared" si="141"/>
        <v>10999.93</v>
      </c>
    </row>
    <row r="4497" spans="1:9" x14ac:dyDescent="0.2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 s="1">
        <f t="shared" si="140"/>
        <v>647.79</v>
      </c>
      <c r="H4497" s="1" t="str">
        <f>_xlfn.XLOOKUP(C4497,Product!A:A,Product!B:B,"not found",0)</f>
        <v>Sun Bicycles Biscayne Tandem CB - 2017</v>
      </c>
      <c r="I4497" s="1">
        <f t="shared" si="141"/>
        <v>647.79</v>
      </c>
    </row>
    <row r="4498" spans="1:9" x14ac:dyDescent="0.2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 s="1">
        <f t="shared" si="140"/>
        <v>23999.88</v>
      </c>
      <c r="H4498" s="1" t="str">
        <f>_xlfn.XLOOKUP(C4498,Product!A:A,Product!B:B,"not found",0)</f>
        <v>Trek Domane SLR 9 Disc - 2018</v>
      </c>
      <c r="I4498" s="1">
        <f t="shared" si="141"/>
        <v>23999.88</v>
      </c>
    </row>
    <row r="4499" spans="1:9" x14ac:dyDescent="0.2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 s="1">
        <f t="shared" si="140"/>
        <v>1199.9100000000001</v>
      </c>
      <c r="H4499" s="1" t="str">
        <f>_xlfn.XLOOKUP(C4499,Product!A:A,Product!B:B,"not found",0)</f>
        <v>Electra Townie Original 7D EQ Ladies' - 2017/2018</v>
      </c>
      <c r="I4499" s="1">
        <f t="shared" si="141"/>
        <v>1199.9100000000001</v>
      </c>
    </row>
    <row r="4500" spans="1:9" x14ac:dyDescent="0.2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 s="1">
        <f t="shared" si="140"/>
        <v>6399.8799999999992</v>
      </c>
      <c r="H4500" s="1" t="str">
        <f>_xlfn.XLOOKUP(C4500,Product!A:A,Product!B:B,"not found",0)</f>
        <v>Trek Fuel EX 8 29 XT - 2018</v>
      </c>
      <c r="I4500" s="1">
        <f t="shared" si="141"/>
        <v>6399.8799999999992</v>
      </c>
    </row>
    <row r="4501" spans="1:9" x14ac:dyDescent="0.2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 s="1">
        <f t="shared" si="140"/>
        <v>428.9</v>
      </c>
      <c r="H4501" s="1" t="str">
        <f>_xlfn.XLOOKUP(C4501,Product!A:A,Product!B:B,"not found",0)</f>
        <v>Pure Cycles Vine 8-Speed - 2016</v>
      </c>
      <c r="I4501" s="1">
        <f t="shared" si="141"/>
        <v>428.9</v>
      </c>
    </row>
    <row r="4502" spans="1:9" x14ac:dyDescent="0.2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 s="1">
        <f t="shared" si="140"/>
        <v>299.93</v>
      </c>
      <c r="H4502" s="1" t="str">
        <f>_xlfn.XLOOKUP(C4502,Product!A:A,Product!B:B,"not found",0)</f>
        <v>Trek Girl's Kickster - 2017</v>
      </c>
      <c r="I4502" s="1">
        <f t="shared" si="141"/>
        <v>299.93</v>
      </c>
    </row>
    <row r="4503" spans="1:9" x14ac:dyDescent="0.2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 s="1">
        <f t="shared" si="140"/>
        <v>402.79</v>
      </c>
      <c r="H4503" s="1" t="str">
        <f>_xlfn.XLOOKUP(C4503,Product!A:A,Product!B:B,"not found",0)</f>
        <v>Sun Bicycles Boardwalk (24-inch Wheels) - 2017</v>
      </c>
      <c r="I4503" s="1">
        <f t="shared" si="141"/>
        <v>402.79</v>
      </c>
    </row>
    <row r="4504" spans="1:9" x14ac:dyDescent="0.2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 s="1">
        <f t="shared" si="140"/>
        <v>4999.9299999999994</v>
      </c>
      <c r="H4504" s="1" t="str">
        <f>_xlfn.XLOOKUP(C4504,Product!A:A,Product!B:B,"not found",0)</f>
        <v>Surly Troll Frameset - 2018</v>
      </c>
      <c r="I4504" s="1">
        <f t="shared" si="141"/>
        <v>4999.9299999999994</v>
      </c>
    </row>
    <row r="4505" spans="1:9" x14ac:dyDescent="0.2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 s="1">
        <f t="shared" si="140"/>
        <v>6999.78</v>
      </c>
      <c r="H4505" s="1" t="str">
        <f>_xlfn.XLOOKUP(C4505,Product!A:A,Product!B:B,"not found",0)</f>
        <v>Trek Domane SL 6 Disc - 2018</v>
      </c>
      <c r="I4505" s="1">
        <f t="shared" si="141"/>
        <v>6999.78</v>
      </c>
    </row>
    <row r="4506" spans="1:9" x14ac:dyDescent="0.2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 s="1">
        <f t="shared" si="140"/>
        <v>759.88</v>
      </c>
      <c r="H4506" s="1" t="str">
        <f>_xlfn.XLOOKUP(C4506,Product!A:A,Product!B:B,"not found",0)</f>
        <v>Haro Flightline One ST - 2017</v>
      </c>
      <c r="I4506" s="1">
        <f t="shared" si="141"/>
        <v>759.88</v>
      </c>
    </row>
    <row r="4507" spans="1:9" x14ac:dyDescent="0.2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 s="1">
        <f t="shared" si="140"/>
        <v>279.79000000000002</v>
      </c>
      <c r="H4507" s="1" t="str">
        <f>_xlfn.XLOOKUP(C4507,Product!A:A,Product!B:B,"not found",0)</f>
        <v>Electra Under-The-Sea 1 16" - 2018</v>
      </c>
      <c r="I4507" s="1">
        <f t="shared" si="141"/>
        <v>279.79000000000002</v>
      </c>
    </row>
    <row r="4508" spans="1:9" x14ac:dyDescent="0.2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 s="1">
        <f t="shared" si="140"/>
        <v>899.88</v>
      </c>
      <c r="H4508" s="1" t="str">
        <f>_xlfn.XLOOKUP(C4508,Product!A:A,Product!B:B,"not found",0)</f>
        <v>Sun Bicycles Cruz 3 - Women's - 2017</v>
      </c>
      <c r="I4508" s="1">
        <f t="shared" si="141"/>
        <v>899.88</v>
      </c>
    </row>
    <row r="4509" spans="1:9" x14ac:dyDescent="0.2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 s="1">
        <f t="shared" si="140"/>
        <v>209.79000000000002</v>
      </c>
      <c r="H4509" s="1" t="str">
        <f>_xlfn.XLOOKUP(C4509,Product!A:A,Product!B:B,"not found",0)</f>
        <v>Haro Shredder 20 Girls - 2017</v>
      </c>
      <c r="I4509" s="1">
        <f t="shared" si="141"/>
        <v>209.79000000000002</v>
      </c>
    </row>
    <row r="4510" spans="1:9" x14ac:dyDescent="0.2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 s="1">
        <f t="shared" si="140"/>
        <v>1919.91</v>
      </c>
      <c r="H4510" s="1" t="str">
        <f>_xlfn.XLOOKUP(C4510,Product!A:A,Product!B:B,"not found",0)</f>
        <v>Trek CrossRip 1 - 2018</v>
      </c>
      <c r="I4510" s="1">
        <f t="shared" si="141"/>
        <v>1919.91</v>
      </c>
    </row>
    <row r="4511" spans="1:9" x14ac:dyDescent="0.2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 s="1">
        <f t="shared" si="140"/>
        <v>699.93000000000006</v>
      </c>
      <c r="H4511" s="1" t="str">
        <f>_xlfn.XLOOKUP(C4511,Product!A:A,Product!B:B,"not found",0)</f>
        <v>Electra Savannah 3i (20-inch) - Girl's - 2017</v>
      </c>
      <c r="I4511" s="1">
        <f t="shared" si="141"/>
        <v>699.93000000000006</v>
      </c>
    </row>
    <row r="4512" spans="1:9" x14ac:dyDescent="0.2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 s="1">
        <f t="shared" si="140"/>
        <v>1799.79</v>
      </c>
      <c r="H4512" s="1" t="str">
        <f>_xlfn.XLOOKUP(C4512,Product!A:A,Product!B:B,"not found",0)</f>
        <v>Trek Procaliber 6 - 2018</v>
      </c>
      <c r="I4512" s="1">
        <f t="shared" si="141"/>
        <v>1799.79</v>
      </c>
    </row>
    <row r="4513" spans="1:9" x14ac:dyDescent="0.2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 s="1">
        <f t="shared" si="140"/>
        <v>6999.8799999999992</v>
      </c>
      <c r="H4513" s="1" t="str">
        <f>_xlfn.XLOOKUP(C4513,Product!A:A,Product!B:B,"not found",0)</f>
        <v>Trek XM700+ - 2018</v>
      </c>
      <c r="I4513" s="1">
        <f t="shared" si="141"/>
        <v>6999.8799999999992</v>
      </c>
    </row>
    <row r="4514" spans="1:9" x14ac:dyDescent="0.2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 s="1">
        <f t="shared" si="140"/>
        <v>833.78</v>
      </c>
      <c r="H4514" s="1" t="str">
        <f>_xlfn.XLOOKUP(C4514,Product!A:A,Product!B:B,"not found",0)</f>
        <v>Sun Bicycles Cruz 7 - 2017</v>
      </c>
      <c r="I4514" s="1">
        <f t="shared" si="141"/>
        <v>833.78</v>
      </c>
    </row>
    <row r="4515" spans="1:9" x14ac:dyDescent="0.2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 s="1">
        <f t="shared" si="140"/>
        <v>869.89</v>
      </c>
      <c r="H4515" s="1" t="str">
        <f>_xlfn.XLOOKUP(C4515,Product!A:A,Product!B:B,"not found",0)</f>
        <v>Haro SR 1.2 - 2017</v>
      </c>
      <c r="I4515" s="1">
        <f t="shared" si="141"/>
        <v>869.89</v>
      </c>
    </row>
    <row r="4516" spans="1:9" x14ac:dyDescent="0.2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 s="1">
        <f t="shared" si="140"/>
        <v>6499.8899999999994</v>
      </c>
      <c r="H4516" s="1" t="str">
        <f>_xlfn.XLOOKUP(C4516,Product!A:A,Product!B:B,"not found",0)</f>
        <v>Trek Domane SL Frameset - 2018</v>
      </c>
      <c r="I4516" s="1">
        <f t="shared" si="141"/>
        <v>6499.8899999999994</v>
      </c>
    </row>
    <row r="4517" spans="1:9" x14ac:dyDescent="0.2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 s="1">
        <f t="shared" si="140"/>
        <v>5599.8799999999992</v>
      </c>
      <c r="H4517" s="1" t="str">
        <f>_xlfn.XLOOKUP(C4517,Product!A:A,Product!B:B,"not found",0)</f>
        <v>Trek Conduit+ - 2018</v>
      </c>
      <c r="I4517" s="1">
        <f t="shared" si="141"/>
        <v>5599.8799999999992</v>
      </c>
    </row>
    <row r="4518" spans="1:9" x14ac:dyDescent="0.2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 s="1">
        <f t="shared" si="140"/>
        <v>749.89</v>
      </c>
      <c r="H4518" s="1" t="str">
        <f>_xlfn.XLOOKUP(C4518,Product!A:A,Product!B:B,"not found",0)</f>
        <v>Electra Queen of Hearts 3i - 2018</v>
      </c>
      <c r="I4518" s="1">
        <f t="shared" si="141"/>
        <v>749.89</v>
      </c>
    </row>
    <row r="4519" spans="1:9" x14ac:dyDescent="0.2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 s="1">
        <f t="shared" si="140"/>
        <v>499.94</v>
      </c>
      <c r="H4519" s="1" t="str">
        <f>_xlfn.XLOOKUP(C4519,Product!A:A,Product!B:B,"not found",0)</f>
        <v>Electra Townie Original 7D - 2015/2016</v>
      </c>
      <c r="I4519" s="1">
        <f t="shared" si="141"/>
        <v>499.94</v>
      </c>
    </row>
    <row r="4520" spans="1:9" x14ac:dyDescent="0.2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 s="1">
        <f t="shared" si="140"/>
        <v>899.78</v>
      </c>
      <c r="H4520" s="1" t="str">
        <f>_xlfn.XLOOKUP(C4520,Product!A:A,Product!B:B,"not found",0)</f>
        <v>Sun Bicycles Cruz 3 - 2017</v>
      </c>
      <c r="I4520" s="1">
        <f t="shared" si="141"/>
        <v>899.78</v>
      </c>
    </row>
    <row r="4521" spans="1:9" x14ac:dyDescent="0.2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 s="1">
        <f t="shared" si="140"/>
        <v>3599.79</v>
      </c>
      <c r="H4521" s="1" t="str">
        <f>_xlfn.XLOOKUP(C4521,Product!A:A,Product!B:B,"not found",0)</f>
        <v>Trek Super Commuter+ 7 - 2018</v>
      </c>
      <c r="I4521" s="1">
        <f t="shared" si="141"/>
        <v>3599.79</v>
      </c>
    </row>
    <row r="4522" spans="1:9" x14ac:dyDescent="0.2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 s="1">
        <f t="shared" si="140"/>
        <v>469.89</v>
      </c>
      <c r="H4522" s="1" t="str">
        <f>_xlfn.XLOOKUP(C4522,Product!A:A,Product!B:B,"not found",0)</f>
        <v>Trek Farley Alloy Frameset - 2017</v>
      </c>
      <c r="I4522" s="1">
        <f t="shared" si="141"/>
        <v>469.89</v>
      </c>
    </row>
    <row r="4523" spans="1:9" x14ac:dyDescent="0.2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 s="1">
        <f t="shared" si="140"/>
        <v>3499.9199999999996</v>
      </c>
      <c r="H4523" s="1" t="str">
        <f>_xlfn.XLOOKUP(C4523,Product!A:A,Product!B:B,"not found",0)</f>
        <v>Trek Powerfly 5 Women's - 2018</v>
      </c>
      <c r="I4523" s="1">
        <f t="shared" si="141"/>
        <v>3499.9199999999996</v>
      </c>
    </row>
    <row r="4524" spans="1:9" x14ac:dyDescent="0.2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 s="1">
        <f t="shared" si="140"/>
        <v>6999.78</v>
      </c>
      <c r="H4524" s="1" t="str">
        <f>_xlfn.XLOOKUP(C4524,Product!A:A,Product!B:B,"not found",0)</f>
        <v>Trek Boone 7 - 2017</v>
      </c>
      <c r="I4524" s="1">
        <f t="shared" si="141"/>
        <v>6999.78</v>
      </c>
    </row>
    <row r="4525" spans="1:9" x14ac:dyDescent="0.2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 s="1">
        <f t="shared" si="140"/>
        <v>959.79</v>
      </c>
      <c r="H4525" s="1" t="str">
        <f>_xlfn.XLOOKUP(C4525,Product!A:A,Product!B:B,"not found",0)</f>
        <v>Trek CrossRip 1 - 2018</v>
      </c>
      <c r="I4525" s="1">
        <f t="shared" si="141"/>
        <v>959.79</v>
      </c>
    </row>
    <row r="4526" spans="1:9" x14ac:dyDescent="0.2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 s="1">
        <f t="shared" si="140"/>
        <v>469.94</v>
      </c>
      <c r="H4526" s="1" t="str">
        <f>_xlfn.XLOOKUP(C4526,Product!A:A,Product!B:B,"not found",0)</f>
        <v>Trek Kids' Neko - 2018</v>
      </c>
      <c r="I4526" s="1">
        <f t="shared" si="141"/>
        <v>469.94</v>
      </c>
    </row>
    <row r="4527" spans="1:9" x14ac:dyDescent="0.2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 s="1">
        <f t="shared" si="140"/>
        <v>1499.93</v>
      </c>
      <c r="H4527" s="1" t="str">
        <f>_xlfn.XLOOKUP(C4527,Product!A:A,Product!B:B,"not found",0)</f>
        <v>Electra White Water 3i - 2018</v>
      </c>
      <c r="I4527" s="1">
        <f t="shared" si="141"/>
        <v>1499.93</v>
      </c>
    </row>
    <row r="4528" spans="1:9" x14ac:dyDescent="0.2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 s="1">
        <f t="shared" si="140"/>
        <v>1399.88</v>
      </c>
      <c r="H4528" s="1" t="str">
        <f>_xlfn.XLOOKUP(C4528,Product!A:A,Product!B:B,"not found",0)</f>
        <v>Electra Townie Commute 8D Ladies' - 2018</v>
      </c>
      <c r="I4528" s="1">
        <f t="shared" si="141"/>
        <v>1399.88</v>
      </c>
    </row>
    <row r="4529" spans="1:9" x14ac:dyDescent="0.2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 s="1">
        <f t="shared" si="140"/>
        <v>1119.93</v>
      </c>
      <c r="H4529" s="1" t="str">
        <f>_xlfn.XLOOKUP(C4529,Product!A:A,Product!B:B,"not found",0)</f>
        <v>Electra Townie Original 21D Ladies' - 2018</v>
      </c>
      <c r="I4529" s="1">
        <f t="shared" si="141"/>
        <v>1119.93</v>
      </c>
    </row>
    <row r="4530" spans="1:9" x14ac:dyDescent="0.2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 s="1">
        <f t="shared" si="140"/>
        <v>659.92</v>
      </c>
      <c r="H4530" s="1" t="str">
        <f>_xlfn.XLOOKUP(C4530,Product!A:A,Product!B:B,"not found",0)</f>
        <v>Electra Townie Original 3i EQ - 2017/2018</v>
      </c>
      <c r="I4530" s="1">
        <f t="shared" si="141"/>
        <v>659.92</v>
      </c>
    </row>
    <row r="4531" spans="1:9" x14ac:dyDescent="0.2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 s="1">
        <f t="shared" si="140"/>
        <v>5599.8799999999992</v>
      </c>
      <c r="H4531" s="1" t="str">
        <f>_xlfn.XLOOKUP(C4531,Product!A:A,Product!B:B,"not found",0)</f>
        <v>Trek Conduit+ - 2018</v>
      </c>
      <c r="I4531" s="1">
        <f t="shared" si="141"/>
        <v>5599.8799999999992</v>
      </c>
    </row>
    <row r="4532" spans="1:9" x14ac:dyDescent="0.2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 s="1">
        <f t="shared" si="140"/>
        <v>5499.92</v>
      </c>
      <c r="H4532" s="1" t="str">
        <f>_xlfn.XLOOKUP(C4532,Product!A:A,Product!B:B,"not found",0)</f>
        <v>Trek Domane SL 8 Disc - 2018</v>
      </c>
      <c r="I4532" s="1">
        <f t="shared" si="141"/>
        <v>5499.92</v>
      </c>
    </row>
    <row r="4533" spans="1:9" x14ac:dyDescent="0.2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 s="1">
        <f t="shared" si="140"/>
        <v>299.93</v>
      </c>
      <c r="H4533" s="1" t="str">
        <f>_xlfn.XLOOKUP(C4533,Product!A:A,Product!B:B,"not found",0)</f>
        <v>Trek Girl's Kickster - 2017</v>
      </c>
      <c r="I4533" s="1">
        <f t="shared" si="141"/>
        <v>299.93</v>
      </c>
    </row>
    <row r="4534" spans="1:9" x14ac:dyDescent="0.2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 s="1">
        <f t="shared" si="140"/>
        <v>7999.78</v>
      </c>
      <c r="H4534" s="1" t="str">
        <f>_xlfn.XLOOKUP(C4534,Product!A:A,Product!B:B,"not found",0)</f>
        <v>Trek Boone 7 Disc - 2018</v>
      </c>
      <c r="I4534" s="1">
        <f t="shared" si="141"/>
        <v>7999.78</v>
      </c>
    </row>
    <row r="4535" spans="1:9" x14ac:dyDescent="0.2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 s="1">
        <f t="shared" si="140"/>
        <v>2299.89</v>
      </c>
      <c r="H4535" s="1" t="str">
        <f>_xlfn.XLOOKUP(C4535,Product!A:A,Product!B:B,"not found",0)</f>
        <v>Trek Verve+ Lowstep - 2018</v>
      </c>
      <c r="I4535" s="1">
        <f t="shared" si="141"/>
        <v>2299.89</v>
      </c>
    </row>
    <row r="4536" spans="1:9" x14ac:dyDescent="0.2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 s="1">
        <f t="shared" si="140"/>
        <v>2939.93</v>
      </c>
      <c r="H4536" s="1" t="str">
        <f>_xlfn.XLOOKUP(C4536,Product!A:A,Product!B:B,"not found",0)</f>
        <v>Haro Shift R3 - 2017</v>
      </c>
      <c r="I4536" s="1">
        <f t="shared" si="141"/>
        <v>2939.93</v>
      </c>
    </row>
    <row r="4537" spans="1:9" x14ac:dyDescent="0.2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 s="1">
        <f t="shared" si="140"/>
        <v>489.92</v>
      </c>
      <c r="H4537" s="1" t="str">
        <f>_xlfn.XLOOKUP(C4537,Product!A:A,Product!B:B,"not found",0)</f>
        <v>Electra Townie Original 7D - 2017</v>
      </c>
      <c r="I4537" s="1">
        <f t="shared" si="141"/>
        <v>489.92</v>
      </c>
    </row>
    <row r="4538" spans="1:9" x14ac:dyDescent="0.2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 s="1">
        <f t="shared" si="140"/>
        <v>549.89</v>
      </c>
      <c r="H4538" s="1" t="str">
        <f>_xlfn.XLOOKUP(C4538,Product!A:A,Product!B:B,"not found",0)</f>
        <v>Electra Townie Original 21D - 2016</v>
      </c>
      <c r="I4538" s="1">
        <f t="shared" si="141"/>
        <v>549.89</v>
      </c>
    </row>
    <row r="4539" spans="1:9" x14ac:dyDescent="0.2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 s="1">
        <f t="shared" si="140"/>
        <v>2999.9399999999996</v>
      </c>
      <c r="H4539" s="1" t="str">
        <f>_xlfn.XLOOKUP(C4539,Product!A:A,Product!B:B,"not found",0)</f>
        <v>Electra Townie Commute Go! - 2018</v>
      </c>
      <c r="I4539" s="1">
        <f t="shared" si="141"/>
        <v>2999.9399999999996</v>
      </c>
    </row>
    <row r="4540" spans="1:9" x14ac:dyDescent="0.2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 s="1">
        <f t="shared" si="140"/>
        <v>209.94</v>
      </c>
      <c r="H4540" s="1" t="str">
        <f>_xlfn.XLOOKUP(C4540,Product!A:A,Product!B:B,"not found",0)</f>
        <v>Trek Precaliber 16 Boys - 2017</v>
      </c>
      <c r="I4540" s="1">
        <f t="shared" si="141"/>
        <v>209.94</v>
      </c>
    </row>
    <row r="4541" spans="1:9" x14ac:dyDescent="0.2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 s="1">
        <f t="shared" si="140"/>
        <v>749.94</v>
      </c>
      <c r="H4541" s="1" t="str">
        <f>_xlfn.XLOOKUP(C4541,Product!A:A,Product!B:B,"not found",0)</f>
        <v>Trek Domane AL 2 Women's - 2018</v>
      </c>
      <c r="I4541" s="1">
        <f t="shared" si="141"/>
        <v>749.94</v>
      </c>
    </row>
    <row r="4542" spans="1:9" x14ac:dyDescent="0.2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 s="1">
        <f t="shared" si="140"/>
        <v>279.79000000000002</v>
      </c>
      <c r="H4542" s="1" t="str">
        <f>_xlfn.XLOOKUP(C4542,Product!A:A,Product!B:B,"not found",0)</f>
        <v>Electra Soft Serve 1 (16-inch) - Girl's - 2018</v>
      </c>
      <c r="I4542" s="1">
        <f t="shared" si="141"/>
        <v>279.79000000000002</v>
      </c>
    </row>
    <row r="4543" spans="1:9" x14ac:dyDescent="0.2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 s="1">
        <f t="shared" si="140"/>
        <v>1099.8800000000001</v>
      </c>
      <c r="H4543" s="1" t="str">
        <f>_xlfn.XLOOKUP(C4543,Product!A:A,Product!B:B,"not found",0)</f>
        <v>Electra Townie Original 21D - 2016</v>
      </c>
      <c r="I4543" s="1">
        <f t="shared" si="141"/>
        <v>1099.8800000000001</v>
      </c>
    </row>
    <row r="4544" spans="1:9" x14ac:dyDescent="0.2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 s="1">
        <f t="shared" si="140"/>
        <v>6499.8899999999994</v>
      </c>
      <c r="H4544" s="1" t="str">
        <f>_xlfn.XLOOKUP(C4544,Product!A:A,Product!B:B,"not found",0)</f>
        <v>Trek Domane SL Frameset - 2018</v>
      </c>
      <c r="I4544" s="1">
        <f t="shared" si="141"/>
        <v>6499.8899999999994</v>
      </c>
    </row>
    <row r="4545" spans="1:9" x14ac:dyDescent="0.2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 s="1">
        <f t="shared" si="140"/>
        <v>469.89</v>
      </c>
      <c r="H4545" s="1" t="str">
        <f>_xlfn.XLOOKUP(C4545,Product!A:A,Product!B:B,"not found",0)</f>
        <v>Surly Big Fat Dummy Frameset - 2018</v>
      </c>
      <c r="I4545" s="1">
        <f t="shared" si="141"/>
        <v>469.89</v>
      </c>
    </row>
    <row r="4546" spans="1:9" x14ac:dyDescent="0.2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 s="1">
        <f t="shared" si="140"/>
        <v>3797.95</v>
      </c>
      <c r="H4546" s="1" t="str">
        <f>_xlfn.XLOOKUP(C4546,Product!A:A,Product!B:B,"not found",0)</f>
        <v>Surly ECR 27.5 - 2018</v>
      </c>
      <c r="I4546" s="1">
        <f t="shared" si="141"/>
        <v>3797.95</v>
      </c>
    </row>
    <row r="4547" spans="1:9" x14ac:dyDescent="0.2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 s="1">
        <f t="shared" ref="G4547:G4610" si="142">(E4547*D4547)-F4547</f>
        <v>3199.79</v>
      </c>
      <c r="H4547" s="1" t="str">
        <f>_xlfn.XLOOKUP(C4547,Product!A:A,Product!B:B,"not found",0)</f>
        <v>Trek Domane SLR Disc Frameset - 2018</v>
      </c>
      <c r="I4547" s="1">
        <f t="shared" ref="I4547:I4610" si="143">(D4547*E4547)-F4547</f>
        <v>3199.79</v>
      </c>
    </row>
    <row r="4548" spans="1:9" x14ac:dyDescent="0.2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 s="1">
        <f t="shared" si="142"/>
        <v>6999.78</v>
      </c>
      <c r="H4548" s="1" t="str">
        <f>_xlfn.XLOOKUP(C4548,Product!A:A,Product!B:B,"not found",0)</f>
        <v>Trek Domane SL 6 - 2017</v>
      </c>
      <c r="I4548" s="1">
        <f t="shared" si="143"/>
        <v>6999.78</v>
      </c>
    </row>
    <row r="4549" spans="1:9" x14ac:dyDescent="0.2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 s="1">
        <f t="shared" si="142"/>
        <v>659.92</v>
      </c>
      <c r="H4549" s="1" t="str">
        <f>_xlfn.XLOOKUP(C4549,Product!A:A,Product!B:B,"not found",0)</f>
        <v>Electra Amsterdam Original 3i Ladies' - 2017</v>
      </c>
      <c r="I4549" s="1">
        <f t="shared" si="143"/>
        <v>659.92</v>
      </c>
    </row>
    <row r="4550" spans="1:9" x14ac:dyDescent="0.2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 s="1">
        <f t="shared" si="142"/>
        <v>289.89</v>
      </c>
      <c r="H4550" s="1" t="str">
        <f>_xlfn.XLOOKUP(C4550,Product!A:A,Product!B:B,"not found",0)</f>
        <v>Strider Strider 20 Sport - 2018</v>
      </c>
      <c r="I4550" s="1">
        <f t="shared" si="143"/>
        <v>289.89</v>
      </c>
    </row>
    <row r="4551" spans="1:9" x14ac:dyDescent="0.2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 s="1">
        <f t="shared" si="142"/>
        <v>939.93000000000006</v>
      </c>
      <c r="H4551" s="1" t="str">
        <f>_xlfn.XLOOKUP(C4551,Product!A:A,Product!B:B,"not found",0)</f>
        <v>Trek Kids' Neko - 2018</v>
      </c>
      <c r="I4551" s="1">
        <f t="shared" si="143"/>
        <v>939.93000000000006</v>
      </c>
    </row>
    <row r="4552" spans="1:9" x14ac:dyDescent="0.2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 s="1">
        <f t="shared" si="142"/>
        <v>1799.88</v>
      </c>
      <c r="H4552" s="1" t="str">
        <f>_xlfn.XLOOKUP(C4552,Product!A:A,Product!B:B,"not found",0)</f>
        <v>Electra Koa 3i Ladies' - 2018</v>
      </c>
      <c r="I4552" s="1">
        <f t="shared" si="143"/>
        <v>1799.88</v>
      </c>
    </row>
    <row r="4553" spans="1:9" x14ac:dyDescent="0.2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 s="1">
        <f t="shared" si="142"/>
        <v>2697.93</v>
      </c>
      <c r="H4553" s="1" t="str">
        <f>_xlfn.XLOOKUP(C4553,Product!A:A,Product!B:B,"not found",0)</f>
        <v>Surly Pack Rat - 2018</v>
      </c>
      <c r="I4553" s="1">
        <f t="shared" si="143"/>
        <v>2697.93</v>
      </c>
    </row>
    <row r="4554" spans="1:9" x14ac:dyDescent="0.2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 s="1">
        <f t="shared" si="142"/>
        <v>2819.91</v>
      </c>
      <c r="H4554" s="1" t="str">
        <f>_xlfn.XLOOKUP(C4554,Product!A:A,Product!B:B,"not found",0)</f>
        <v>Haro SR 1.3 - 2017</v>
      </c>
      <c r="I4554" s="1">
        <f t="shared" si="143"/>
        <v>2819.91</v>
      </c>
    </row>
    <row r="4555" spans="1:9" x14ac:dyDescent="0.2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 s="1">
        <f t="shared" si="142"/>
        <v>999.92</v>
      </c>
      <c r="H4555" s="1" t="str">
        <f>_xlfn.XLOOKUP(C4555,Product!A:A,Product!B:B,"not found",0)</f>
        <v>Trek Farley Carbon Frameset - 2018</v>
      </c>
      <c r="I4555" s="1">
        <f t="shared" si="143"/>
        <v>999.92</v>
      </c>
    </row>
    <row r="4556" spans="1:9" x14ac:dyDescent="0.2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 s="1">
        <f t="shared" si="142"/>
        <v>2899.9399999999996</v>
      </c>
      <c r="H4556" s="1" t="str">
        <f>_xlfn.XLOOKUP(C4556,Product!A:A,Product!B:B,"not found",0)</f>
        <v>Trek Fuel EX 8 29 - 2016</v>
      </c>
      <c r="I4556" s="1">
        <f t="shared" si="143"/>
        <v>2899.9399999999996</v>
      </c>
    </row>
    <row r="4557" spans="1:9" x14ac:dyDescent="0.2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 s="1">
        <f t="shared" si="142"/>
        <v>2699.79</v>
      </c>
      <c r="H4557" s="1" t="str">
        <f>_xlfn.XLOOKUP(C4557,Product!A:A,Product!B:B,"not found",0)</f>
        <v>Trek Domane S 6 - 2017</v>
      </c>
      <c r="I4557" s="1">
        <f t="shared" si="143"/>
        <v>2699.79</v>
      </c>
    </row>
    <row r="4558" spans="1:9" x14ac:dyDescent="0.2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 s="1">
        <f t="shared" si="142"/>
        <v>2599.9199999999996</v>
      </c>
      <c r="H4558" s="1" t="str">
        <f>_xlfn.XLOOKUP(C4558,Product!A:A,Product!B:B,"not found",0)</f>
        <v>Electra Townie Go! 8i Ladies' - 2018</v>
      </c>
      <c r="I4558" s="1">
        <f t="shared" si="143"/>
        <v>2599.9199999999996</v>
      </c>
    </row>
    <row r="4559" spans="1:9" x14ac:dyDescent="0.2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 s="1">
        <f t="shared" si="142"/>
        <v>679.91</v>
      </c>
      <c r="H4559" s="1" t="str">
        <f>_xlfn.XLOOKUP(C4559,Product!A:A,Product!B:B,"not found",0)</f>
        <v>Electra Townie 7D (20-inch) - Boys' - 2017</v>
      </c>
      <c r="I4559" s="1">
        <f t="shared" si="143"/>
        <v>679.91</v>
      </c>
    </row>
    <row r="4560" spans="1:9" x14ac:dyDescent="0.2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 s="1">
        <f t="shared" si="142"/>
        <v>448.9</v>
      </c>
      <c r="H4560" s="1" t="str">
        <f>_xlfn.XLOOKUP(C4560,Product!A:A,Product!B:B,"not found",0)</f>
        <v>Pure Cycles Western 3-Speed - Women's - 2015/2016</v>
      </c>
      <c r="I4560" s="1">
        <f t="shared" si="143"/>
        <v>448.9</v>
      </c>
    </row>
    <row r="4561" spans="1:9" x14ac:dyDescent="0.2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 s="1">
        <f t="shared" si="142"/>
        <v>6399.8799999999992</v>
      </c>
      <c r="H4561" s="1" t="str">
        <f>_xlfn.XLOOKUP(C4561,Product!A:A,Product!B:B,"not found",0)</f>
        <v>Trek Domane SL Disc Frameset - 2017</v>
      </c>
      <c r="I4561" s="1">
        <f t="shared" si="143"/>
        <v>6399.8799999999992</v>
      </c>
    </row>
    <row r="4562" spans="1:9" x14ac:dyDescent="0.2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 s="1">
        <f t="shared" si="142"/>
        <v>319.89</v>
      </c>
      <c r="H4562" s="1" t="str">
        <f>_xlfn.XLOOKUP(C4562,Product!A:A,Product!B:B,"not found",0)</f>
        <v>Electra Cruiser 7D Ladies' - 2016/2018</v>
      </c>
      <c r="I4562" s="1">
        <f t="shared" si="143"/>
        <v>319.89</v>
      </c>
    </row>
    <row r="4563" spans="1:9" x14ac:dyDescent="0.2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 s="1">
        <f t="shared" si="142"/>
        <v>1999.78</v>
      </c>
      <c r="H4563" s="1" t="str">
        <f>_xlfn.XLOOKUP(C4563,Product!A:A,Product!B:B,"not found",0)</f>
        <v>Trek X-Caliber 8 - 2018</v>
      </c>
      <c r="I4563" s="1">
        <f t="shared" si="143"/>
        <v>1999.78</v>
      </c>
    </row>
    <row r="4564" spans="1:9" x14ac:dyDescent="0.2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 s="1">
        <f t="shared" si="142"/>
        <v>1469.79</v>
      </c>
      <c r="H4564" s="1" t="str">
        <f>_xlfn.XLOOKUP(C4564,Product!A:A,Product!B:B,"not found",0)</f>
        <v>Haro Shift R3 - 2017</v>
      </c>
      <c r="I4564" s="1">
        <f t="shared" si="143"/>
        <v>1469.79</v>
      </c>
    </row>
    <row r="4565" spans="1:9" x14ac:dyDescent="0.2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 s="1">
        <f t="shared" si="142"/>
        <v>4399.91</v>
      </c>
      <c r="H4565" s="1" t="str">
        <f>_xlfn.XLOOKUP(C4565,Product!A:A,Product!B:B,"not found",0)</f>
        <v>Trek Domane SL 5 - 2018</v>
      </c>
      <c r="I4565" s="1">
        <f t="shared" si="143"/>
        <v>4399.91</v>
      </c>
    </row>
    <row r="4566" spans="1:9" x14ac:dyDescent="0.2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 s="1">
        <f t="shared" si="142"/>
        <v>559.93000000000006</v>
      </c>
      <c r="H4566" s="1" t="str">
        <f>_xlfn.XLOOKUP(C4566,Product!A:A,Product!B:B,"not found",0)</f>
        <v>Electra Under-The-Sea 1 16" - 2018</v>
      </c>
      <c r="I4566" s="1">
        <f t="shared" si="143"/>
        <v>559.93000000000006</v>
      </c>
    </row>
    <row r="4567" spans="1:9" x14ac:dyDescent="0.2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 s="1">
        <f t="shared" si="142"/>
        <v>3199.79</v>
      </c>
      <c r="H4567" s="1" t="str">
        <f>_xlfn.XLOOKUP(C4567,Product!A:A,Product!B:B,"not found",0)</f>
        <v>Trek Domane SL Disc Frameset - 2017</v>
      </c>
      <c r="I4567" s="1">
        <f t="shared" si="143"/>
        <v>3199.79</v>
      </c>
    </row>
    <row r="4568" spans="1:9" x14ac:dyDescent="0.2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 s="1">
        <f t="shared" si="142"/>
        <v>250.79000000000002</v>
      </c>
      <c r="H4568" s="1" t="str">
        <f>_xlfn.XLOOKUP(C4568,Product!A:A,Product!B:B,"not found",0)</f>
        <v>Sun Bicycles Revolutions 24 - 2017</v>
      </c>
      <c r="I4568" s="1">
        <f t="shared" si="143"/>
        <v>250.79000000000002</v>
      </c>
    </row>
    <row r="4569" spans="1:9" x14ac:dyDescent="0.2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 s="1">
        <f t="shared" si="142"/>
        <v>6399.91</v>
      </c>
      <c r="H4569" s="1" t="str">
        <f>_xlfn.XLOOKUP(C4569,Product!A:A,Product!B:B,"not found",0)</f>
        <v>Trek Fuel EX 8 29 - 2018</v>
      </c>
      <c r="I4569" s="1">
        <f t="shared" si="143"/>
        <v>6399.91</v>
      </c>
    </row>
    <row r="4570" spans="1:9" x14ac:dyDescent="0.2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 s="1">
        <f t="shared" si="142"/>
        <v>3499.9199999999996</v>
      </c>
      <c r="H4570" s="1" t="str">
        <f>_xlfn.XLOOKUP(C4570,Product!A:A,Product!B:B,"not found",0)</f>
        <v>Trek XM700+ Lowstep - 2018</v>
      </c>
      <c r="I4570" s="1">
        <f t="shared" si="143"/>
        <v>3499.9199999999996</v>
      </c>
    </row>
    <row r="4571" spans="1:9" x14ac:dyDescent="0.2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 s="1">
        <f t="shared" si="142"/>
        <v>899.92</v>
      </c>
      <c r="H4571" s="1" t="str">
        <f>_xlfn.XLOOKUP(C4571,Product!A:A,Product!B:B,"not found",0)</f>
        <v>Electra Townie Commute 27D - 2018</v>
      </c>
      <c r="I4571" s="1">
        <f t="shared" si="143"/>
        <v>899.92</v>
      </c>
    </row>
    <row r="4572" spans="1:9" x14ac:dyDescent="0.2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 s="1">
        <f t="shared" si="142"/>
        <v>269.89</v>
      </c>
      <c r="H4572" s="1" t="str">
        <f>_xlfn.XLOOKUP(C4572,Product!A:A,Product!B:B,"not found",0)</f>
        <v>Electra Girl's Hawaii 1 (16-inch) - 2015/2016</v>
      </c>
      <c r="I4572" s="1">
        <f t="shared" si="143"/>
        <v>269.89</v>
      </c>
    </row>
    <row r="4573" spans="1:9" x14ac:dyDescent="0.2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 s="1">
        <f t="shared" si="142"/>
        <v>379.92</v>
      </c>
      <c r="H4573" s="1" t="str">
        <f>_xlfn.XLOOKUP(C4573,Product!A:A,Product!B:B,"not found",0)</f>
        <v>Haro Flightline One ST - 2017</v>
      </c>
      <c r="I4573" s="1">
        <f t="shared" si="143"/>
        <v>379.92</v>
      </c>
    </row>
    <row r="4574" spans="1:9" x14ac:dyDescent="0.2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 s="1">
        <f t="shared" si="142"/>
        <v>209.89000000000001</v>
      </c>
      <c r="H4574" s="1" t="str">
        <f>_xlfn.XLOOKUP(C4574,Product!A:A,Product!B:B,"not found",0)</f>
        <v>Haro Shredder 20 - 2017</v>
      </c>
      <c r="I4574" s="1">
        <f t="shared" si="143"/>
        <v>209.89000000000001</v>
      </c>
    </row>
    <row r="4575" spans="1:9" x14ac:dyDescent="0.2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 s="1">
        <f t="shared" si="142"/>
        <v>899.89</v>
      </c>
      <c r="H4575" s="1" t="str">
        <f>_xlfn.XLOOKUP(C4575,Product!A:A,Product!B:B,"not found",0)</f>
        <v>Electra Townie Balloon 7i EQ - 2018</v>
      </c>
      <c r="I4575" s="1">
        <f t="shared" si="143"/>
        <v>899.89</v>
      </c>
    </row>
    <row r="4576" spans="1:9" x14ac:dyDescent="0.2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 s="1">
        <f t="shared" si="142"/>
        <v>299.92</v>
      </c>
      <c r="H4576" s="1" t="str">
        <f>_xlfn.XLOOKUP(C4576,Product!A:A,Product!B:B,"not found",0)</f>
        <v>Electra Girl's Hawaii 1 16" - 2017</v>
      </c>
      <c r="I4576" s="1">
        <f t="shared" si="143"/>
        <v>299.92</v>
      </c>
    </row>
    <row r="4577" spans="1:9" x14ac:dyDescent="0.2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 s="1">
        <f t="shared" si="142"/>
        <v>1359.78</v>
      </c>
      <c r="H4577" s="1" t="str">
        <f>_xlfn.XLOOKUP(C4577,Product!A:A,Product!B:B,"not found",0)</f>
        <v>Electra Townie Original 21D EQ - 2017/2018</v>
      </c>
      <c r="I4577" s="1">
        <f t="shared" si="143"/>
        <v>1359.78</v>
      </c>
    </row>
    <row r="4578" spans="1:9" x14ac:dyDescent="0.2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 s="1">
        <f t="shared" si="142"/>
        <v>919.94</v>
      </c>
      <c r="H4578" s="1" t="str">
        <f>_xlfn.XLOOKUP(C4578,Product!A:A,Product!B:B,"not found",0)</f>
        <v>Trek Domane AL 3 - 2018</v>
      </c>
      <c r="I4578" s="1">
        <f t="shared" si="143"/>
        <v>919.94</v>
      </c>
    </row>
    <row r="4579" spans="1:9" x14ac:dyDescent="0.2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 s="1">
        <f t="shared" si="142"/>
        <v>9999.93</v>
      </c>
      <c r="H4579" s="1" t="str">
        <f>_xlfn.XLOOKUP(C4579,Product!A:A,Product!B:B,"not found",0)</f>
        <v>Trek Powerfly 8 FS Plus - 2017</v>
      </c>
      <c r="I4579" s="1">
        <f t="shared" si="143"/>
        <v>9999.93</v>
      </c>
    </row>
    <row r="4580" spans="1:9" x14ac:dyDescent="0.2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 s="1">
        <f t="shared" si="142"/>
        <v>319.79000000000002</v>
      </c>
      <c r="H4580" s="1" t="str">
        <f>_xlfn.XLOOKUP(C4580,Product!A:A,Product!B:B,"not found",0)</f>
        <v>Trek Precaliber 24 7-speed Girl's - 2018</v>
      </c>
      <c r="I4580" s="1">
        <f t="shared" si="143"/>
        <v>319.79000000000002</v>
      </c>
    </row>
    <row r="4581" spans="1:9" x14ac:dyDescent="0.2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 s="1">
        <f t="shared" si="142"/>
        <v>4999.79</v>
      </c>
      <c r="H4581" s="1" t="str">
        <f>_xlfn.XLOOKUP(C4581,Product!A:A,Product!B:B,"not found",0)</f>
        <v>Trek Domane SLR 6 - 2018</v>
      </c>
      <c r="I4581" s="1">
        <f t="shared" si="143"/>
        <v>4999.79</v>
      </c>
    </row>
    <row r="4582" spans="1:9" x14ac:dyDescent="0.2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 s="1">
        <f t="shared" si="142"/>
        <v>533.91999999999996</v>
      </c>
      <c r="H4582" s="1" t="str">
        <f>_xlfn.XLOOKUP(C4582,Product!A:A,Product!B:B,"not found",0)</f>
        <v>Sun Bicycles Streamway 7 - 2017</v>
      </c>
      <c r="I4582" s="1">
        <f t="shared" si="143"/>
        <v>533.91999999999996</v>
      </c>
    </row>
    <row r="4583" spans="1:9" x14ac:dyDescent="0.2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 s="1">
        <f t="shared" si="142"/>
        <v>899.89</v>
      </c>
      <c r="H4583" s="1" t="str">
        <f>_xlfn.XLOOKUP(C4583,Product!A:A,Product!B:B,"not found",0)</f>
        <v>Electra Townie Balloon 7i EQ - 2018</v>
      </c>
      <c r="I4583" s="1">
        <f t="shared" si="143"/>
        <v>899.89</v>
      </c>
    </row>
    <row r="4584" spans="1:9" x14ac:dyDescent="0.2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 s="1">
        <f t="shared" si="142"/>
        <v>2999.89</v>
      </c>
      <c r="H4584" s="1" t="str">
        <f>_xlfn.XLOOKUP(C4584,Product!A:A,Product!B:B,"not found",0)</f>
        <v>Electra Townie Commute Go! Ladies' - 2018</v>
      </c>
      <c r="I4584" s="1">
        <f t="shared" si="143"/>
        <v>2999.89</v>
      </c>
    </row>
    <row r="4585" spans="1:9" x14ac:dyDescent="0.2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 s="1">
        <f t="shared" si="142"/>
        <v>11999.92</v>
      </c>
      <c r="H4585" s="1" t="str">
        <f>_xlfn.XLOOKUP(C4585,Product!A:A,Product!B:B,"not found",0)</f>
        <v>Trek Domane SLR 9 Disc - 2018</v>
      </c>
      <c r="I4585" s="1">
        <f t="shared" si="143"/>
        <v>11999.92</v>
      </c>
    </row>
    <row r="4586" spans="1:9" x14ac:dyDescent="0.2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 s="1">
        <f t="shared" si="142"/>
        <v>1399.88</v>
      </c>
      <c r="H4586" s="1" t="str">
        <f>_xlfn.XLOOKUP(C4586,Product!A:A,Product!B:B,"not found",0)</f>
        <v>Electra Townie Commute 8D Ladies' - 2018</v>
      </c>
      <c r="I4586" s="1">
        <f t="shared" si="143"/>
        <v>1399.88</v>
      </c>
    </row>
    <row r="4587" spans="1:9" x14ac:dyDescent="0.2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 s="1">
        <f t="shared" si="142"/>
        <v>559.91999999999996</v>
      </c>
      <c r="H4587" s="1" t="str">
        <f>_xlfn.XLOOKUP(C4587,Product!A:A,Product!B:B,"not found",0)</f>
        <v>Electra Townie Original 21D - 2018</v>
      </c>
      <c r="I4587" s="1">
        <f t="shared" si="143"/>
        <v>559.91999999999996</v>
      </c>
    </row>
    <row r="4588" spans="1:9" x14ac:dyDescent="0.2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 s="1">
        <f t="shared" si="142"/>
        <v>1199.78</v>
      </c>
      <c r="H4588" s="1" t="str">
        <f>_xlfn.XLOOKUP(C4588,Product!A:A,Product!B:B,"not found",0)</f>
        <v>Electra Townie Original 7D EQ - Women's - 2016</v>
      </c>
      <c r="I4588" s="1">
        <f t="shared" si="143"/>
        <v>1199.78</v>
      </c>
    </row>
    <row r="4589" spans="1:9" x14ac:dyDescent="0.2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 s="1">
        <f t="shared" si="142"/>
        <v>1799.93</v>
      </c>
      <c r="H4589" s="1" t="str">
        <f>_xlfn.XLOOKUP(C4589,Product!A:A,Product!B:B,"not found",0)</f>
        <v>Electra Super Moto 8i - 2018</v>
      </c>
      <c r="I4589" s="1">
        <f t="shared" si="143"/>
        <v>1799.93</v>
      </c>
    </row>
    <row r="4590" spans="1:9" x14ac:dyDescent="0.2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 s="1">
        <f t="shared" si="142"/>
        <v>2999.79</v>
      </c>
      <c r="H4590" s="1" t="str">
        <f>_xlfn.XLOOKUP(C4590,Product!A:A,Product!B:B,"not found",0)</f>
        <v>Electra Townie Commute Go! - 2018</v>
      </c>
      <c r="I4590" s="1">
        <f t="shared" si="143"/>
        <v>2999.79</v>
      </c>
    </row>
    <row r="4591" spans="1:9" x14ac:dyDescent="0.2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 s="1">
        <f t="shared" si="142"/>
        <v>3199.9399999999996</v>
      </c>
      <c r="H4591" s="1" t="str">
        <f>_xlfn.XLOOKUP(C4591,Product!A:A,Product!B:B,"not found",0)</f>
        <v>Trek Fuel EX 8 29 - 2018</v>
      </c>
      <c r="I4591" s="1">
        <f t="shared" si="143"/>
        <v>3199.9399999999996</v>
      </c>
    </row>
    <row r="4592" spans="1:9" x14ac:dyDescent="0.2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 s="1">
        <f t="shared" si="142"/>
        <v>1359.78</v>
      </c>
      <c r="H4592" s="1" t="str">
        <f>_xlfn.XLOOKUP(C4592,Product!A:A,Product!B:B,"not found",0)</f>
        <v>Electra Townie Original 21D EQ - 2017/2018</v>
      </c>
      <c r="I4592" s="1">
        <f t="shared" si="143"/>
        <v>1359.78</v>
      </c>
    </row>
    <row r="4593" spans="1:9" x14ac:dyDescent="0.2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 s="1">
        <f t="shared" si="142"/>
        <v>2999.9399999999996</v>
      </c>
      <c r="H4593" s="1" t="str">
        <f>_xlfn.XLOOKUP(C4593,Product!A:A,Product!B:B,"not found",0)</f>
        <v>Trek Conduit+ - 2016</v>
      </c>
      <c r="I4593" s="1">
        <f t="shared" si="143"/>
        <v>2999.9399999999996</v>
      </c>
    </row>
    <row r="4594" spans="1:9" x14ac:dyDescent="0.2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 s="1">
        <f t="shared" si="142"/>
        <v>919.92</v>
      </c>
      <c r="H4594" s="1" t="str">
        <f>_xlfn.XLOOKUP(C4594,Product!A:A,Product!B:B,"not found",0)</f>
        <v>Trek X-Caliber 7 - 2018</v>
      </c>
      <c r="I4594" s="1">
        <f t="shared" si="143"/>
        <v>919.92</v>
      </c>
    </row>
    <row r="4595" spans="1:9" x14ac:dyDescent="0.2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 s="1">
        <f t="shared" si="142"/>
        <v>1059.8800000000001</v>
      </c>
      <c r="H4595" s="1" t="str">
        <f>_xlfn.XLOOKUP(C4595,Product!A:A,Product!B:B,"not found",0)</f>
        <v>Electra Moto 1 - 2016</v>
      </c>
      <c r="I4595" s="1">
        <f t="shared" si="143"/>
        <v>1059.8800000000001</v>
      </c>
    </row>
    <row r="4596" spans="1:9" x14ac:dyDescent="0.2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 s="1">
        <f t="shared" si="142"/>
        <v>1799.91</v>
      </c>
      <c r="H4596" s="1" t="str">
        <f>_xlfn.XLOOKUP(C4596,Product!A:A,Product!B:B,"not found",0)</f>
        <v>Electra Super Moto 8i - 2018</v>
      </c>
      <c r="I4596" s="1">
        <f t="shared" si="143"/>
        <v>1799.91</v>
      </c>
    </row>
    <row r="4597" spans="1:9" x14ac:dyDescent="0.2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 s="1">
        <f t="shared" si="142"/>
        <v>179.88</v>
      </c>
      <c r="H4597" s="1" t="str">
        <f>_xlfn.XLOOKUP(C4597,Product!A:A,Product!B:B,"not found",0)</f>
        <v>Strider Classic 12 Balance Bike - 2018</v>
      </c>
      <c r="I4597" s="1">
        <f t="shared" si="143"/>
        <v>179.88</v>
      </c>
    </row>
    <row r="4598" spans="1:9" x14ac:dyDescent="0.2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 s="1">
        <f t="shared" si="142"/>
        <v>469.89</v>
      </c>
      <c r="H4598" s="1" t="str">
        <f>_xlfn.XLOOKUP(C4598,Product!A:A,Product!B:B,"not found",0)</f>
        <v>Surly Pack Rat Frameset - 2018</v>
      </c>
      <c r="I4598" s="1">
        <f t="shared" si="143"/>
        <v>469.89</v>
      </c>
    </row>
    <row r="4599" spans="1:9" x14ac:dyDescent="0.2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 s="1">
        <f t="shared" si="142"/>
        <v>539.91999999999996</v>
      </c>
      <c r="H4599" s="1" t="str">
        <f>_xlfn.XLOOKUP(C4599,Product!A:A,Product!B:B,"not found",0)</f>
        <v>Haro SR 1.1 - 2017</v>
      </c>
      <c r="I4599" s="1">
        <f t="shared" si="143"/>
        <v>539.91999999999996</v>
      </c>
    </row>
    <row r="4600" spans="1:9" x14ac:dyDescent="0.2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 s="1">
        <f t="shared" si="142"/>
        <v>7999.8799999999992</v>
      </c>
      <c r="H4600" s="1" t="str">
        <f>_xlfn.XLOOKUP(C4600,Product!A:A,Product!B:B,"not found",0)</f>
        <v>Trek Boone 7 Disc - 2018</v>
      </c>
      <c r="I4600" s="1">
        <f t="shared" si="143"/>
        <v>7999.8799999999992</v>
      </c>
    </row>
    <row r="4601" spans="1:9" x14ac:dyDescent="0.2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 s="1">
        <f t="shared" si="142"/>
        <v>269.92</v>
      </c>
      <c r="H4601" s="1" t="str">
        <f>_xlfn.XLOOKUP(C4601,Product!A:A,Product!B:B,"not found",0)</f>
        <v>Electra Cruiser 1 - 2016/2017/2018</v>
      </c>
      <c r="I4601" s="1">
        <f t="shared" si="143"/>
        <v>269.92</v>
      </c>
    </row>
    <row r="4602" spans="1:9" x14ac:dyDescent="0.2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 s="1">
        <f t="shared" si="142"/>
        <v>939.93000000000006</v>
      </c>
      <c r="H4602" s="1" t="str">
        <f>_xlfn.XLOOKUP(C4602,Product!A:A,Product!B:B,"not found",0)</f>
        <v>Surly Big Fat Dummy Frameset - 2018</v>
      </c>
      <c r="I4602" s="1">
        <f t="shared" si="143"/>
        <v>939.93000000000006</v>
      </c>
    </row>
    <row r="4603" spans="1:9" x14ac:dyDescent="0.2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 s="1">
        <f t="shared" si="142"/>
        <v>419.78000000000003</v>
      </c>
      <c r="H4603" s="1" t="str">
        <f>_xlfn.XLOOKUP(C4603,Product!A:A,Product!B:B,"not found",0)</f>
        <v>Haro Shredder 20 - 2017</v>
      </c>
      <c r="I4603" s="1">
        <f t="shared" si="143"/>
        <v>419.78000000000003</v>
      </c>
    </row>
    <row r="4604" spans="1:9" x14ac:dyDescent="0.2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 s="1">
        <f t="shared" si="142"/>
        <v>416.94</v>
      </c>
      <c r="H4604" s="1" t="str">
        <f>_xlfn.XLOOKUP(C4604,Product!A:A,Product!B:B,"not found",0)</f>
        <v>Sun Bicycles Cruz 7 - 2017</v>
      </c>
      <c r="I4604" s="1">
        <f t="shared" si="143"/>
        <v>416.94</v>
      </c>
    </row>
    <row r="4605" spans="1:9" x14ac:dyDescent="0.2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 s="1">
        <f t="shared" si="142"/>
        <v>319.94</v>
      </c>
      <c r="H4605" s="1" t="str">
        <f>_xlfn.XLOOKUP(C4605,Product!A:A,Product!B:B,"not found",0)</f>
        <v>Electra Tiger Shark 1 (20-inch) - Boys' - 2018</v>
      </c>
      <c r="I4605" s="1">
        <f t="shared" si="143"/>
        <v>319.94</v>
      </c>
    </row>
    <row r="4606" spans="1:9" x14ac:dyDescent="0.2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 s="1">
        <f t="shared" si="142"/>
        <v>6999.9299999999994</v>
      </c>
      <c r="H4606" s="1" t="str">
        <f>_xlfn.XLOOKUP(C4606,Product!A:A,Product!B:B,"not found",0)</f>
        <v>Trek Powerfly 5 Women's - 2018</v>
      </c>
      <c r="I4606" s="1">
        <f t="shared" si="143"/>
        <v>6999.9299999999994</v>
      </c>
    </row>
    <row r="4607" spans="1:9" x14ac:dyDescent="0.2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 s="1">
        <f t="shared" si="142"/>
        <v>559.93000000000006</v>
      </c>
      <c r="H4607" s="1" t="str">
        <f>_xlfn.XLOOKUP(C4607,Product!A:A,Product!B:B,"not found",0)</f>
        <v>Electra Water Lily 1 (16-inch) - Girl's - 2018</v>
      </c>
      <c r="I4607" s="1">
        <f t="shared" si="143"/>
        <v>559.93000000000006</v>
      </c>
    </row>
    <row r="4608" spans="1:9" x14ac:dyDescent="0.2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 s="1">
        <f t="shared" si="142"/>
        <v>941.88</v>
      </c>
      <c r="H4608" s="1" t="str">
        <f>_xlfn.XLOOKUP(C4608,Product!A:A,Product!B:B,"not found",0)</f>
        <v>Sun Bicycles Drifter 7 - Women's - 2017</v>
      </c>
      <c r="I4608" s="1">
        <f t="shared" si="143"/>
        <v>941.88</v>
      </c>
    </row>
    <row r="4609" spans="1:9" x14ac:dyDescent="0.2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 s="1">
        <f t="shared" si="142"/>
        <v>1599.78</v>
      </c>
      <c r="H4609" s="1" t="str">
        <f>_xlfn.XLOOKUP(C4609,Product!A:A,Product!B:B,"not found",0)</f>
        <v>Electra Townie Balloon 3i EQ Ladies' - 2018</v>
      </c>
      <c r="I4609" s="1">
        <f t="shared" si="143"/>
        <v>1599.78</v>
      </c>
    </row>
    <row r="4610" spans="1:9" x14ac:dyDescent="0.2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 s="1">
        <f t="shared" si="142"/>
        <v>5197.93</v>
      </c>
      <c r="H4610" s="1" t="str">
        <f>_xlfn.XLOOKUP(C4610,Product!A:A,Product!B:B,"not found",0)</f>
        <v>Heller Bloodhound Trail - 2018</v>
      </c>
      <c r="I4610" s="1">
        <f t="shared" si="143"/>
        <v>5197.93</v>
      </c>
    </row>
    <row r="4611" spans="1:9" x14ac:dyDescent="0.2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 s="1">
        <f t="shared" ref="G4611:G4674" si="144">(E4611*D4611)-F4611</f>
        <v>559.93000000000006</v>
      </c>
      <c r="H4611" s="1" t="str">
        <f>_xlfn.XLOOKUP(C4611,Product!A:A,Product!B:B,"not found",0)</f>
        <v>Electra Cyclosaurus 1 (16-inch) - Boy's - 2018</v>
      </c>
      <c r="I4611" s="1">
        <f t="shared" ref="I4611:I4674" si="145">(D4611*E4611)-F4611</f>
        <v>559.93000000000006</v>
      </c>
    </row>
    <row r="4612" spans="1:9" x14ac:dyDescent="0.2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 s="1">
        <f t="shared" si="144"/>
        <v>7199.91</v>
      </c>
      <c r="H4612" s="1" t="str">
        <f>_xlfn.XLOOKUP(C4612,Product!A:A,Product!B:B,"not found",0)</f>
        <v>Trek Super Commuter+ 7 - 2018</v>
      </c>
      <c r="I4612" s="1">
        <f t="shared" si="145"/>
        <v>7199.91</v>
      </c>
    </row>
    <row r="4613" spans="1:9" x14ac:dyDescent="0.2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 s="1">
        <f t="shared" si="144"/>
        <v>899.94</v>
      </c>
      <c r="H4613" s="1" t="str">
        <f>_xlfn.XLOOKUP(C4613,Product!A:A,Product!B:B,"not found",0)</f>
        <v>Electra Townie Commute 27D Ladies - 2018</v>
      </c>
      <c r="I4613" s="1">
        <f t="shared" si="145"/>
        <v>899.94</v>
      </c>
    </row>
    <row r="4614" spans="1:9" x14ac:dyDescent="0.2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 s="1">
        <f t="shared" si="144"/>
        <v>1499.78</v>
      </c>
      <c r="H4614" s="1" t="str">
        <f>_xlfn.XLOOKUP(C4614,Product!A:A,Product!B:B,"not found",0)</f>
        <v>Electra Townie Commute 8D - 2018</v>
      </c>
      <c r="I4614" s="1">
        <f t="shared" si="145"/>
        <v>1499.78</v>
      </c>
    </row>
    <row r="4615" spans="1:9" x14ac:dyDescent="0.2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 s="1">
        <f t="shared" si="144"/>
        <v>3499.9399999999996</v>
      </c>
      <c r="H4615" s="1" t="str">
        <f>_xlfn.XLOOKUP(C4615,Product!A:A,Product!B:B,"not found",0)</f>
        <v>Trek Domane SL 6 - 2017</v>
      </c>
      <c r="I4615" s="1">
        <f t="shared" si="145"/>
        <v>3499.9399999999996</v>
      </c>
    </row>
    <row r="4616" spans="1:9" x14ac:dyDescent="0.2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 s="1">
        <f t="shared" si="144"/>
        <v>899.89</v>
      </c>
      <c r="H4616" s="1" t="str">
        <f>_xlfn.XLOOKUP(C4616,Product!A:A,Product!B:B,"not found",0)</f>
        <v>Electra Tiger Shark 3i - 2018</v>
      </c>
      <c r="I4616" s="1">
        <f t="shared" si="145"/>
        <v>899.89</v>
      </c>
    </row>
    <row r="4617" spans="1:9" x14ac:dyDescent="0.2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 s="1">
        <f t="shared" si="144"/>
        <v>279.92</v>
      </c>
      <c r="H4617" s="1" t="str">
        <f>_xlfn.XLOOKUP(C4617,Product!A:A,Product!B:B,"not found",0)</f>
        <v>Electra Starship 1 16" - 2018</v>
      </c>
      <c r="I4617" s="1">
        <f t="shared" si="145"/>
        <v>279.92</v>
      </c>
    </row>
    <row r="4618" spans="1:9" x14ac:dyDescent="0.2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 s="1">
        <f t="shared" si="144"/>
        <v>693.88</v>
      </c>
      <c r="H4618" s="1" t="str">
        <f>_xlfn.XLOOKUP(C4618,Product!A:A,Product!B:B,"not found",0)</f>
        <v>Sun Bicycles Lil Bolt Type-R - 2017</v>
      </c>
      <c r="I4618" s="1">
        <f t="shared" si="145"/>
        <v>693.88</v>
      </c>
    </row>
    <row r="4619" spans="1:9" x14ac:dyDescent="0.2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 s="1">
        <f t="shared" si="144"/>
        <v>939.91</v>
      </c>
      <c r="H4619" s="1" t="str">
        <f>_xlfn.XLOOKUP(C4619,Product!A:A,Product!B:B,"not found",0)</f>
        <v>Trek Kids' Neko - 2018</v>
      </c>
      <c r="I4619" s="1">
        <f t="shared" si="145"/>
        <v>939.91</v>
      </c>
    </row>
    <row r="4620" spans="1:9" x14ac:dyDescent="0.2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 s="1">
        <f t="shared" si="144"/>
        <v>299.78000000000003</v>
      </c>
      <c r="H4620" s="1" t="str">
        <f>_xlfn.XLOOKUP(C4620,Product!A:A,Product!B:B,"not found",0)</f>
        <v>Trek Girl's Kickster - 2017</v>
      </c>
      <c r="I4620" s="1">
        <f t="shared" si="145"/>
        <v>299.78000000000003</v>
      </c>
    </row>
    <row r="4621" spans="1:9" x14ac:dyDescent="0.2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 s="1">
        <f t="shared" si="144"/>
        <v>489.89</v>
      </c>
      <c r="H4621" s="1" t="str">
        <f>_xlfn.XLOOKUP(C4621,Product!A:A,Product!B:B,"not found",0)</f>
        <v>Electra Townie Original 7D - 2017</v>
      </c>
      <c r="I4621" s="1">
        <f t="shared" si="145"/>
        <v>489.89</v>
      </c>
    </row>
    <row r="4622" spans="1:9" x14ac:dyDescent="0.2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 s="1">
        <f t="shared" si="144"/>
        <v>289.79000000000002</v>
      </c>
      <c r="H4622" s="1" t="str">
        <f>_xlfn.XLOOKUP(C4622,Product!A:A,Product!B:B,"not found",0)</f>
        <v>Trek Precaliber 20 6-speed Boy's - 2018</v>
      </c>
      <c r="I4622" s="1">
        <f t="shared" si="145"/>
        <v>289.79000000000002</v>
      </c>
    </row>
    <row r="4623" spans="1:9" x14ac:dyDescent="0.2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 s="1">
        <f t="shared" si="144"/>
        <v>599.91999999999996</v>
      </c>
      <c r="H4623" s="1" t="str">
        <f>_xlfn.XLOOKUP(C4623,Product!A:A,Product!B:B,"not found",0)</f>
        <v>Electra Cruiser Lux Fat Tire 1 Ladies - 2017</v>
      </c>
      <c r="I4623" s="1">
        <f t="shared" si="145"/>
        <v>599.91999999999996</v>
      </c>
    </row>
    <row r="4624" spans="1:9" x14ac:dyDescent="0.2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 s="1">
        <f t="shared" si="144"/>
        <v>2999.91</v>
      </c>
      <c r="H4624" s="1" t="str">
        <f>_xlfn.XLOOKUP(C4624,Product!A:A,Product!B:B,"not found",0)</f>
        <v>Trek Procaliber Frameset - 2018</v>
      </c>
      <c r="I4624" s="1">
        <f t="shared" si="145"/>
        <v>2999.91</v>
      </c>
    </row>
    <row r="4625" spans="1:9" x14ac:dyDescent="0.2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 s="1">
        <f t="shared" si="144"/>
        <v>529.94000000000005</v>
      </c>
      <c r="H4625" s="1" t="str">
        <f>_xlfn.XLOOKUP(C4625,Product!A:A,Product!B:B,"not found",0)</f>
        <v>Electra Moto 1 - 2016</v>
      </c>
      <c r="I4625" s="1">
        <f t="shared" si="145"/>
        <v>529.94000000000005</v>
      </c>
    </row>
    <row r="4626" spans="1:9" x14ac:dyDescent="0.2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 s="1">
        <f t="shared" si="144"/>
        <v>579.78</v>
      </c>
      <c r="H4626" s="1" t="str">
        <f>_xlfn.XLOOKUP(C4626,Product!A:A,Product!B:B,"not found",0)</f>
        <v>Strider Strider 20 Sport - 2018</v>
      </c>
      <c r="I4626" s="1">
        <f t="shared" si="145"/>
        <v>579.78</v>
      </c>
    </row>
    <row r="4627" spans="1:9" x14ac:dyDescent="0.2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 s="1">
        <f t="shared" si="144"/>
        <v>1739.88</v>
      </c>
      <c r="H4627" s="1" t="str">
        <f>_xlfn.XLOOKUP(C4627,Product!A:A,Product!B:B,"not found",0)</f>
        <v>Haro SR 1.2 - 2017</v>
      </c>
      <c r="I4627" s="1">
        <f t="shared" si="145"/>
        <v>1739.88</v>
      </c>
    </row>
    <row r="4628" spans="1:9" x14ac:dyDescent="0.2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 s="1">
        <f t="shared" si="144"/>
        <v>1799.88</v>
      </c>
      <c r="H4628" s="1" t="str">
        <f>_xlfn.XLOOKUP(C4628,Product!A:A,Product!B:B,"not found",0)</f>
        <v>Electra Super Moto 8i - 2018</v>
      </c>
      <c r="I4628" s="1">
        <f t="shared" si="145"/>
        <v>1799.88</v>
      </c>
    </row>
    <row r="4629" spans="1:9" x14ac:dyDescent="0.2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 s="1">
        <f t="shared" si="144"/>
        <v>5299.79</v>
      </c>
      <c r="H4629" s="1" t="str">
        <f>_xlfn.XLOOKUP(C4629,Product!A:A,Product!B:B,"not found",0)</f>
        <v>Trek Fuel EX 9.8 27.5 Plus - 2017</v>
      </c>
      <c r="I4629" s="1">
        <f t="shared" si="145"/>
        <v>5299.79</v>
      </c>
    </row>
    <row r="4630" spans="1:9" x14ac:dyDescent="0.2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 s="1">
        <f t="shared" si="144"/>
        <v>2799.89</v>
      </c>
      <c r="H4630" s="1" t="str">
        <f>_xlfn.XLOOKUP(C4630,Product!A:A,Product!B:B,"not found",0)</f>
        <v>Trek Neko+ - 2018</v>
      </c>
      <c r="I4630" s="1">
        <f t="shared" si="145"/>
        <v>2799.89</v>
      </c>
    </row>
    <row r="4631" spans="1:9" x14ac:dyDescent="0.2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 s="1">
        <f t="shared" si="144"/>
        <v>3599.91</v>
      </c>
      <c r="H4631" s="1" t="str">
        <f>_xlfn.XLOOKUP(C4631,Product!A:A,Product!B:B,"not found",0)</f>
        <v>Trek Domane ALR 5 Gravel - 2018</v>
      </c>
      <c r="I4631" s="1">
        <f t="shared" si="145"/>
        <v>3599.91</v>
      </c>
    </row>
    <row r="4632" spans="1:9" x14ac:dyDescent="0.2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 s="1">
        <f t="shared" si="144"/>
        <v>449.89</v>
      </c>
      <c r="H4632" s="1" t="str">
        <f>_xlfn.XLOOKUP(C4632,Product!A:A,Product!B:B,"not found",0)</f>
        <v>Electra Townie Original 1 Ladies' - 2018</v>
      </c>
      <c r="I4632" s="1">
        <f t="shared" si="145"/>
        <v>449.89</v>
      </c>
    </row>
    <row r="4633" spans="1:9" x14ac:dyDescent="0.2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 s="1">
        <f t="shared" si="144"/>
        <v>899.88</v>
      </c>
      <c r="H4633" s="1" t="str">
        <f>_xlfn.XLOOKUP(C4633,Product!A:A,Product!B:B,"not found",0)</f>
        <v>Sun Bicycles Cruz 3 - 2017</v>
      </c>
      <c r="I4633" s="1">
        <f t="shared" si="145"/>
        <v>899.88</v>
      </c>
    </row>
    <row r="4634" spans="1:9" x14ac:dyDescent="0.2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 s="1">
        <f t="shared" si="144"/>
        <v>7999.91</v>
      </c>
      <c r="H4634" s="1" t="str">
        <f>_xlfn.XLOOKUP(C4634,Product!A:A,Product!B:B,"not found",0)</f>
        <v>Trek Boone 7 Disc - 2018</v>
      </c>
      <c r="I4634" s="1">
        <f t="shared" si="145"/>
        <v>7999.91</v>
      </c>
    </row>
    <row r="4635" spans="1:9" x14ac:dyDescent="0.2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 s="1">
        <f t="shared" si="144"/>
        <v>299.89</v>
      </c>
      <c r="H4635" s="1" t="str">
        <f>_xlfn.XLOOKUP(C4635,Product!A:A,Product!B:B,"not found",0)</f>
        <v>Electra Girl's Hawaii 1 16" - 2017</v>
      </c>
      <c r="I4635" s="1">
        <f t="shared" si="145"/>
        <v>299.89</v>
      </c>
    </row>
    <row r="4636" spans="1:9" x14ac:dyDescent="0.2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 s="1">
        <f t="shared" si="144"/>
        <v>2799.89</v>
      </c>
      <c r="H4636" s="1" t="str">
        <f>_xlfn.XLOOKUP(C4636,Product!A:A,Product!B:B,"not found",0)</f>
        <v>Electra Loft Go! 8i - 2018</v>
      </c>
      <c r="I4636" s="1">
        <f t="shared" si="145"/>
        <v>2799.89</v>
      </c>
    </row>
    <row r="4637" spans="1:9" x14ac:dyDescent="0.2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 s="1">
        <f t="shared" si="144"/>
        <v>539.88</v>
      </c>
      <c r="H4637" s="1" t="str">
        <f>_xlfn.XLOOKUP(C4637,Product!A:A,Product!B:B,"not found",0)</f>
        <v>Electra Girl's Hawaii 1 (16-inch) - 2015/2016</v>
      </c>
      <c r="I4637" s="1">
        <f t="shared" si="145"/>
        <v>539.88</v>
      </c>
    </row>
    <row r="4638" spans="1:9" x14ac:dyDescent="0.2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 s="1">
        <f t="shared" si="144"/>
        <v>369.92</v>
      </c>
      <c r="H4638" s="1" t="str">
        <f>_xlfn.XLOOKUP(C4638,Product!A:A,Product!B:B,"not found",0)</f>
        <v>Trek Precaliber 24 21-speed Boy's - 2018</v>
      </c>
      <c r="I4638" s="1">
        <f t="shared" si="145"/>
        <v>369.92</v>
      </c>
    </row>
    <row r="4639" spans="1:9" x14ac:dyDescent="0.2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 s="1">
        <f t="shared" si="144"/>
        <v>319.94</v>
      </c>
      <c r="H4639" s="1" t="str">
        <f>_xlfn.XLOOKUP(C4639,Product!A:A,Product!B:B,"not found",0)</f>
        <v>Electra Treasure 1 20" - 2018</v>
      </c>
      <c r="I4639" s="1">
        <f t="shared" si="145"/>
        <v>319.94</v>
      </c>
    </row>
    <row r="4640" spans="1:9" x14ac:dyDescent="0.2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 s="1">
        <f t="shared" si="144"/>
        <v>3199.79</v>
      </c>
      <c r="H4640" s="1" t="str">
        <f>_xlfn.XLOOKUP(C4640,Product!A:A,Product!B:B,"not found",0)</f>
        <v>Trek Domane ALR Frameset - 2018</v>
      </c>
      <c r="I4640" s="1">
        <f t="shared" si="145"/>
        <v>3199.79</v>
      </c>
    </row>
    <row r="4641" spans="1:9" x14ac:dyDescent="0.2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 s="1">
        <f t="shared" si="144"/>
        <v>832.89</v>
      </c>
      <c r="H4641" s="1" t="str">
        <f>_xlfn.XLOOKUP(C4641,Product!A:A,Product!B:B,"not found",0)</f>
        <v>Surly Troll Frameset - 2017</v>
      </c>
      <c r="I4641" s="1">
        <f t="shared" si="145"/>
        <v>832.89</v>
      </c>
    </row>
    <row r="4642" spans="1:9" x14ac:dyDescent="0.2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 s="1">
        <f t="shared" si="144"/>
        <v>481.89</v>
      </c>
      <c r="H4642" s="1" t="str">
        <f>_xlfn.XLOOKUP(C4642,Product!A:A,Product!B:B,"not found",0)</f>
        <v>Sun Bicycles Streamway - 2017</v>
      </c>
      <c r="I4642" s="1">
        <f t="shared" si="145"/>
        <v>481.89</v>
      </c>
    </row>
    <row r="4643" spans="1:9" x14ac:dyDescent="0.2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 s="1">
        <f t="shared" si="144"/>
        <v>6999.9299999999994</v>
      </c>
      <c r="H4643" s="1" t="str">
        <f>_xlfn.XLOOKUP(C4643,Product!A:A,Product!B:B,"not found",0)</f>
        <v>Trek Boone Race Shop Limited - 2017</v>
      </c>
      <c r="I4643" s="1">
        <f t="shared" si="145"/>
        <v>6999.9299999999994</v>
      </c>
    </row>
    <row r="4644" spans="1:9" x14ac:dyDescent="0.2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 s="1">
        <f t="shared" si="144"/>
        <v>1295.93</v>
      </c>
      <c r="H4644" s="1" t="str">
        <f>_xlfn.XLOOKUP(C4644,Product!A:A,Product!B:B,"not found",0)</f>
        <v>Sun Bicycles Biscayne Tandem CB - 2017</v>
      </c>
      <c r="I4644" s="1">
        <f t="shared" si="145"/>
        <v>1295.93</v>
      </c>
    </row>
    <row r="4645" spans="1:9" x14ac:dyDescent="0.2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 s="1">
        <f t="shared" si="144"/>
        <v>1599.91</v>
      </c>
      <c r="H4645" s="1" t="str">
        <f>_xlfn.XLOOKUP(C4645,Product!A:A,Product!B:B,"not found",0)</f>
        <v>Electra Townie Balloon 3i EQ Ladies' - 2018</v>
      </c>
      <c r="I4645" s="1">
        <f t="shared" si="145"/>
        <v>1599.91</v>
      </c>
    </row>
    <row r="4646" spans="1:9" x14ac:dyDescent="0.2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 s="1">
        <f t="shared" si="144"/>
        <v>419.91</v>
      </c>
      <c r="H4646" s="1" t="str">
        <f>_xlfn.XLOOKUP(C4646,Product!A:A,Product!B:B,"not found",0)</f>
        <v>Haro Shredder 20 Girls - 2017</v>
      </c>
      <c r="I4646" s="1">
        <f t="shared" si="145"/>
        <v>419.91</v>
      </c>
    </row>
    <row r="4647" spans="1:9" x14ac:dyDescent="0.2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 s="1">
        <f t="shared" si="144"/>
        <v>1279.93</v>
      </c>
      <c r="H4647" s="1" t="str">
        <f>_xlfn.XLOOKUP(C4647,Product!A:A,Product!B:B,"not found",0)</f>
        <v>Electra Townie Original 3i EQ Ladies' - 2018</v>
      </c>
      <c r="I4647" s="1">
        <f t="shared" si="145"/>
        <v>1279.93</v>
      </c>
    </row>
    <row r="4648" spans="1:9" x14ac:dyDescent="0.2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 s="1">
        <f t="shared" si="144"/>
        <v>799.79</v>
      </c>
      <c r="H4648" s="1" t="str">
        <f>_xlfn.XLOOKUP(C4648,Product!A:A,Product!B:B,"not found",0)</f>
        <v>Electra Townie Balloon 3i EQ Ladies' - 2018</v>
      </c>
      <c r="I4648" s="1">
        <f t="shared" si="145"/>
        <v>799.79</v>
      </c>
    </row>
    <row r="4649" spans="1:9" x14ac:dyDescent="0.2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 s="1">
        <f t="shared" si="144"/>
        <v>4999.8799999999992</v>
      </c>
      <c r="H4649" s="1" t="str">
        <f>_xlfn.XLOOKUP(C4649,Product!A:A,Product!B:B,"not found",0)</f>
        <v>Surly Karate Monkey 27.5+ Frameset - 2017</v>
      </c>
      <c r="I4649" s="1">
        <f t="shared" si="145"/>
        <v>4999.8799999999992</v>
      </c>
    </row>
    <row r="4650" spans="1:9" x14ac:dyDescent="0.2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 s="1">
        <f t="shared" si="144"/>
        <v>6399.91</v>
      </c>
      <c r="H4650" s="1" t="str">
        <f>_xlfn.XLOOKUP(C4650,Product!A:A,Product!B:B,"not found",0)</f>
        <v>Trek Domane SLR Frameset - 2018</v>
      </c>
      <c r="I4650" s="1">
        <f t="shared" si="145"/>
        <v>6399.91</v>
      </c>
    </row>
    <row r="4651" spans="1:9" x14ac:dyDescent="0.2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 s="1">
        <f t="shared" si="144"/>
        <v>599.79</v>
      </c>
      <c r="H4651" s="1" t="str">
        <f>_xlfn.XLOOKUP(C4651,Product!A:A,Product!B:B,"not found",0)</f>
        <v>Electra Townie Original 7D EQ Ladies' - 2017/2018</v>
      </c>
      <c r="I4651" s="1">
        <f t="shared" si="145"/>
        <v>599.79</v>
      </c>
    </row>
    <row r="4652" spans="1:9" x14ac:dyDescent="0.2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 s="1">
        <f t="shared" si="144"/>
        <v>299.92</v>
      </c>
      <c r="H4652" s="1" t="str">
        <f>_xlfn.XLOOKUP(C4652,Product!A:A,Product!B:B,"not found",0)</f>
        <v>Electra Girl's Hawaii 1 (20-inch) - 2015/2016</v>
      </c>
      <c r="I4652" s="1">
        <f t="shared" si="145"/>
        <v>299.92</v>
      </c>
    </row>
    <row r="4653" spans="1:9" x14ac:dyDescent="0.2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 s="1">
        <f t="shared" si="144"/>
        <v>559.78</v>
      </c>
      <c r="H4653" s="1" t="str">
        <f>_xlfn.XLOOKUP(C4653,Product!A:A,Product!B:B,"not found",0)</f>
        <v>Electra Starship 1 16" - 2018</v>
      </c>
      <c r="I4653" s="1">
        <f t="shared" si="145"/>
        <v>559.78</v>
      </c>
    </row>
    <row r="4654" spans="1:9" x14ac:dyDescent="0.2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 s="1">
        <f t="shared" si="144"/>
        <v>939.78</v>
      </c>
      <c r="H4654" s="1" t="str">
        <f>_xlfn.XLOOKUP(C4654,Product!A:A,Product!B:B,"not found",0)</f>
        <v>Surly Big Fat Dummy Frameset - 2018</v>
      </c>
      <c r="I4654" s="1">
        <f t="shared" si="145"/>
        <v>939.78</v>
      </c>
    </row>
    <row r="4655" spans="1:9" x14ac:dyDescent="0.2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 s="1">
        <f t="shared" si="144"/>
        <v>699.91</v>
      </c>
      <c r="H4655" s="1" t="str">
        <f>_xlfn.XLOOKUP(C4655,Product!A:A,Product!B:B,"not found",0)</f>
        <v>Electra Savannah 3i (20-inch) - Girl's - 2017</v>
      </c>
      <c r="I4655" s="1">
        <f t="shared" si="145"/>
        <v>699.91</v>
      </c>
    </row>
    <row r="4656" spans="1:9" x14ac:dyDescent="0.2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 s="1">
        <f t="shared" si="144"/>
        <v>4499.9299999999994</v>
      </c>
      <c r="H4656" s="1" t="str">
        <f>_xlfn.XLOOKUP(C4656,Product!A:A,Product!B:B,"not found",0)</f>
        <v>Trek Fuel EX 5 Plus - 2018</v>
      </c>
      <c r="I4656" s="1">
        <f t="shared" si="145"/>
        <v>4499.9299999999994</v>
      </c>
    </row>
    <row r="4657" spans="1:9" x14ac:dyDescent="0.2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 s="1">
        <f t="shared" si="144"/>
        <v>289.79000000000002</v>
      </c>
      <c r="H4657" s="1" t="str">
        <f>_xlfn.XLOOKUP(C4657,Product!A:A,Product!B:B,"not found",0)</f>
        <v>Strider Strider 20 Sport - 2018</v>
      </c>
      <c r="I4657" s="1">
        <f t="shared" si="145"/>
        <v>289.79000000000002</v>
      </c>
    </row>
    <row r="4658" spans="1:9" x14ac:dyDescent="0.2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 s="1">
        <f t="shared" si="144"/>
        <v>3097.95</v>
      </c>
      <c r="H4658" s="1" t="str">
        <f>_xlfn.XLOOKUP(C4658,Product!A:A,Product!B:B,"not found",0)</f>
        <v>Surly Straggler 650b - 2018</v>
      </c>
      <c r="I4658" s="1">
        <f t="shared" si="145"/>
        <v>3097.95</v>
      </c>
    </row>
    <row r="4659" spans="1:9" x14ac:dyDescent="0.2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 s="1">
        <f t="shared" si="144"/>
        <v>2299.9199999999996</v>
      </c>
      <c r="H4659" s="1" t="str">
        <f>_xlfn.XLOOKUP(C4659,Product!A:A,Product!B:B,"not found",0)</f>
        <v>Trek Emonda ALR 6 - 2018</v>
      </c>
      <c r="I4659" s="1">
        <f t="shared" si="145"/>
        <v>2299.9199999999996</v>
      </c>
    </row>
    <row r="4660" spans="1:9" x14ac:dyDescent="0.2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 s="1">
        <f t="shared" si="144"/>
        <v>9999.91</v>
      </c>
      <c r="H4660" s="1" t="str">
        <f>_xlfn.XLOOKUP(C4660,Product!A:A,Product!B:B,"not found",0)</f>
        <v>Trek Fuel EX 9.8 29 - 2017</v>
      </c>
      <c r="I4660" s="1">
        <f t="shared" si="145"/>
        <v>9999.91</v>
      </c>
    </row>
    <row r="4661" spans="1:9" x14ac:dyDescent="0.2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 s="1">
        <f t="shared" si="144"/>
        <v>2999.79</v>
      </c>
      <c r="H4661" s="1" t="str">
        <f>_xlfn.XLOOKUP(C4661,Product!A:A,Product!B:B,"not found",0)</f>
        <v>Trek Conduit+ - 2016</v>
      </c>
      <c r="I4661" s="1">
        <f t="shared" si="145"/>
        <v>2999.79</v>
      </c>
    </row>
    <row r="4662" spans="1:9" x14ac:dyDescent="0.2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 s="1">
        <f t="shared" si="144"/>
        <v>419.93</v>
      </c>
      <c r="H4662" s="1" t="str">
        <f>_xlfn.XLOOKUP(C4662,Product!A:A,Product!B:B,"not found",0)</f>
        <v>Trek Precaliber 16 Girl's - 2018</v>
      </c>
      <c r="I4662" s="1">
        <f t="shared" si="145"/>
        <v>419.93</v>
      </c>
    </row>
    <row r="4663" spans="1:9" x14ac:dyDescent="0.2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 s="1">
        <f t="shared" si="144"/>
        <v>699.78</v>
      </c>
      <c r="H4663" s="1" t="str">
        <f>_xlfn.XLOOKUP(C4663,Product!A:A,Product!B:B,"not found",0)</f>
        <v>Electra Savannah 3i (20-inch) - Girl's - 2017</v>
      </c>
      <c r="I4663" s="1">
        <f t="shared" si="145"/>
        <v>699.78</v>
      </c>
    </row>
    <row r="4664" spans="1:9" x14ac:dyDescent="0.2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 s="1">
        <f t="shared" si="144"/>
        <v>469.92</v>
      </c>
      <c r="H4664" s="1" t="str">
        <f>_xlfn.XLOOKUP(C4664,Product!A:A,Product!B:B,"not found",0)</f>
        <v>Trek Session DH 27.5 Carbon Frameset - 2017</v>
      </c>
      <c r="I4664" s="1">
        <f t="shared" si="145"/>
        <v>469.92</v>
      </c>
    </row>
    <row r="4665" spans="1:9" x14ac:dyDescent="0.2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 s="1">
        <f t="shared" si="144"/>
        <v>5599.8799999999992</v>
      </c>
      <c r="H4665" s="1" t="str">
        <f>_xlfn.XLOOKUP(C4665,Product!A:A,Product!B:B,"not found",0)</f>
        <v>Trek Dual Sport+ - 2018</v>
      </c>
      <c r="I4665" s="1">
        <f t="shared" si="145"/>
        <v>5599.8799999999992</v>
      </c>
    </row>
    <row r="4666" spans="1:9" x14ac:dyDescent="0.2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 s="1">
        <f t="shared" si="144"/>
        <v>416.94</v>
      </c>
      <c r="H4666" s="1" t="str">
        <f>_xlfn.XLOOKUP(C4666,Product!A:A,Product!B:B,"not found",0)</f>
        <v>Sun Bicycles Cruz 7 - 2017</v>
      </c>
      <c r="I4666" s="1">
        <f t="shared" si="145"/>
        <v>416.94</v>
      </c>
    </row>
    <row r="4667" spans="1:9" x14ac:dyDescent="0.2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 s="1">
        <f t="shared" si="144"/>
        <v>12999.91</v>
      </c>
      <c r="H4667" s="1" t="str">
        <f>_xlfn.XLOOKUP(C4667,Product!A:A,Product!B:B,"not found",0)</f>
        <v>Trek Emonda SLR 8 - 2018</v>
      </c>
      <c r="I4667" s="1">
        <f t="shared" si="145"/>
        <v>12999.91</v>
      </c>
    </row>
    <row r="4668" spans="1:9" x14ac:dyDescent="0.2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 s="1">
        <f t="shared" si="144"/>
        <v>805.88</v>
      </c>
      <c r="H4668" s="1" t="str">
        <f>_xlfn.XLOOKUP(C4668,Product!A:A,Product!B:B,"not found",0)</f>
        <v>Sun Bicycles Boardwalk (24-inch Wheels) - 2017</v>
      </c>
      <c r="I4668" s="1">
        <f t="shared" si="145"/>
        <v>805.88</v>
      </c>
    </row>
    <row r="4669" spans="1:9" x14ac:dyDescent="0.2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 s="1">
        <f t="shared" si="144"/>
        <v>533.89</v>
      </c>
      <c r="H4669" s="1" t="str">
        <f>_xlfn.XLOOKUP(C4669,Product!A:A,Product!B:B,"not found",0)</f>
        <v>Sun Bicycles Streamway 7 - 2017</v>
      </c>
      <c r="I4669" s="1">
        <f t="shared" si="145"/>
        <v>533.89</v>
      </c>
    </row>
    <row r="4670" spans="1:9" x14ac:dyDescent="0.2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 s="1">
        <f t="shared" si="144"/>
        <v>379.79</v>
      </c>
      <c r="H4670" s="1" t="str">
        <f>_xlfn.XLOOKUP(C4670,Product!A:A,Product!B:B,"not found",0)</f>
        <v>Trek 820 - 2018</v>
      </c>
      <c r="I4670" s="1">
        <f t="shared" si="145"/>
        <v>379.79</v>
      </c>
    </row>
    <row r="4671" spans="1:9" x14ac:dyDescent="0.2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 s="1">
        <f t="shared" si="144"/>
        <v>349.94</v>
      </c>
      <c r="H4671" s="1" t="str">
        <f>_xlfn.XLOOKUP(C4671,Product!A:A,Product!B:B,"not found",0)</f>
        <v>Trek Precaliber 24 (21-Speed) - Girls - 2017</v>
      </c>
      <c r="I4671" s="1">
        <f t="shared" si="145"/>
        <v>349.94</v>
      </c>
    </row>
    <row r="4672" spans="1:9" x14ac:dyDescent="0.2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 s="1">
        <f t="shared" si="144"/>
        <v>448.9</v>
      </c>
      <c r="H4672" s="1" t="str">
        <f>_xlfn.XLOOKUP(C4672,Product!A:A,Product!B:B,"not found",0)</f>
        <v>Pure Cycles Western 3-Speed - Women's - 2015/2016</v>
      </c>
      <c r="I4672" s="1">
        <f t="shared" si="145"/>
        <v>448.9</v>
      </c>
    </row>
    <row r="4673" spans="1:9" x14ac:dyDescent="0.2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 s="1">
        <f t="shared" si="144"/>
        <v>3199.9199999999996</v>
      </c>
      <c r="H4673" s="1" t="str">
        <f>_xlfn.XLOOKUP(C4673,Product!A:A,Product!B:B,"not found",0)</f>
        <v>Trek Madone 9 Frameset - 2018</v>
      </c>
      <c r="I4673" s="1">
        <f t="shared" si="145"/>
        <v>3199.9199999999996</v>
      </c>
    </row>
    <row r="4674" spans="1:9" x14ac:dyDescent="0.2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 s="1">
        <f t="shared" si="144"/>
        <v>2599.9199999999996</v>
      </c>
      <c r="H4674" s="1" t="str">
        <f>_xlfn.XLOOKUP(C4674,Product!A:A,Product!B:B,"not found",0)</f>
        <v>Trek Domane S 5 Disc - 2017</v>
      </c>
      <c r="I4674" s="1">
        <f t="shared" si="145"/>
        <v>2599.9199999999996</v>
      </c>
    </row>
    <row r="4675" spans="1:9" x14ac:dyDescent="0.2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 s="1">
        <f t="shared" ref="G4675:G4723" si="146">(E4675*D4675)-F4675</f>
        <v>599.79</v>
      </c>
      <c r="H4675" s="1" t="str">
        <f>_xlfn.XLOOKUP(C4675,Product!A:A,Product!B:B,"not found",0)</f>
        <v>Electra Townie Original 7D EQ - 2018</v>
      </c>
      <c r="I4675" s="1">
        <f t="shared" ref="I4675:I4723" si="147">(D4675*E4675)-F4675</f>
        <v>599.79</v>
      </c>
    </row>
    <row r="4676" spans="1:9" x14ac:dyDescent="0.2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 s="1">
        <f t="shared" si="146"/>
        <v>6999.91</v>
      </c>
      <c r="H4676" s="1" t="str">
        <f>_xlfn.XLOOKUP(C4676,Product!A:A,Product!B:B,"not found",0)</f>
        <v>Trek Domane SL 6 - 2017</v>
      </c>
      <c r="I4676" s="1">
        <f t="shared" si="147"/>
        <v>6999.91</v>
      </c>
    </row>
    <row r="4677" spans="1:9" x14ac:dyDescent="0.2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 s="1">
        <f t="shared" si="146"/>
        <v>189.79000000000002</v>
      </c>
      <c r="H4677" s="1" t="str">
        <f>_xlfn.XLOOKUP(C4677,Product!A:A,Product!B:B,"not found",0)</f>
        <v>Trek Precaliber 12 Girls - 2017</v>
      </c>
      <c r="I4677" s="1">
        <f t="shared" si="147"/>
        <v>189.79000000000002</v>
      </c>
    </row>
    <row r="4678" spans="1:9" x14ac:dyDescent="0.2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 s="1">
        <f t="shared" si="146"/>
        <v>963.78</v>
      </c>
      <c r="H4678" s="1" t="str">
        <f>_xlfn.XLOOKUP(C4678,Product!A:A,Product!B:B,"not found",0)</f>
        <v>Sun Bicycles Streamway - 2017</v>
      </c>
      <c r="I4678" s="1">
        <f t="shared" si="147"/>
        <v>963.78</v>
      </c>
    </row>
    <row r="4679" spans="1:9" x14ac:dyDescent="0.2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 s="1">
        <f t="shared" si="146"/>
        <v>4999.8899999999994</v>
      </c>
      <c r="H4679" s="1" t="str">
        <f>_xlfn.XLOOKUP(C4679,Product!A:A,Product!B:B,"not found",0)</f>
        <v>Trek Domane SLR 6 - 2018</v>
      </c>
      <c r="I4679" s="1">
        <f t="shared" si="147"/>
        <v>4999.8899999999994</v>
      </c>
    </row>
    <row r="4680" spans="1:9" x14ac:dyDescent="0.2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 s="1">
        <f t="shared" si="146"/>
        <v>319.94</v>
      </c>
      <c r="H4680" s="1" t="str">
        <f>_xlfn.XLOOKUP(C4680,Product!A:A,Product!B:B,"not found",0)</f>
        <v>Electra Treasure 1 20" - 2018</v>
      </c>
      <c r="I4680" s="1">
        <f t="shared" si="147"/>
        <v>319.94</v>
      </c>
    </row>
    <row r="4681" spans="1:9" x14ac:dyDescent="0.2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 s="1">
        <f t="shared" si="146"/>
        <v>832.79</v>
      </c>
      <c r="H4681" s="1" t="str">
        <f>_xlfn.XLOOKUP(C4681,Product!A:A,Product!B:B,"not found",0)</f>
        <v>Surly Troll Frameset - 2017</v>
      </c>
      <c r="I4681" s="1">
        <f t="shared" si="147"/>
        <v>832.79</v>
      </c>
    </row>
    <row r="4682" spans="1:9" x14ac:dyDescent="0.2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 s="1">
        <f t="shared" si="146"/>
        <v>1159.78</v>
      </c>
      <c r="H4682" s="1" t="str">
        <f>_xlfn.XLOOKUP(C4682,Product!A:A,Product!B:B,"not found",0)</f>
        <v>Trek Marlin 6 - 2018</v>
      </c>
      <c r="I4682" s="1">
        <f t="shared" si="147"/>
        <v>1159.78</v>
      </c>
    </row>
    <row r="4683" spans="1:9" x14ac:dyDescent="0.2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 s="1">
        <f t="shared" si="146"/>
        <v>1548.8</v>
      </c>
      <c r="H4683" s="1" t="str">
        <f>_xlfn.XLOOKUP(C4683,Product!A:A,Product!B:B,"not found",0)</f>
        <v>Surly Straggler - 2016</v>
      </c>
      <c r="I4683" s="1">
        <f t="shared" si="147"/>
        <v>1548.8</v>
      </c>
    </row>
    <row r="4684" spans="1:9" x14ac:dyDescent="0.2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 s="1">
        <f t="shared" si="146"/>
        <v>539.91</v>
      </c>
      <c r="H4684" s="1" t="str">
        <f>_xlfn.XLOOKUP(C4684,Product!A:A,Product!B:B,"not found",0)</f>
        <v>Electra Cruiser 1 Ladies' - 2018</v>
      </c>
      <c r="I4684" s="1">
        <f t="shared" si="147"/>
        <v>539.91</v>
      </c>
    </row>
    <row r="4685" spans="1:9" x14ac:dyDescent="0.2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 s="1">
        <f t="shared" si="146"/>
        <v>7999.91</v>
      </c>
      <c r="H4685" s="1" t="str">
        <f>_xlfn.XLOOKUP(C4685,Product!A:A,Product!B:B,"not found",0)</f>
        <v>Trek Slash 8 27.5 - 2016</v>
      </c>
      <c r="I4685" s="1">
        <f t="shared" si="147"/>
        <v>7999.91</v>
      </c>
    </row>
    <row r="4686" spans="1:9" x14ac:dyDescent="0.2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 s="1">
        <f t="shared" si="146"/>
        <v>919.89</v>
      </c>
      <c r="H4686" s="1" t="str">
        <f>_xlfn.XLOOKUP(C4686,Product!A:A,Product!B:B,"not found",0)</f>
        <v>Trek Domane AL 3 Women's - 2018</v>
      </c>
      <c r="I4686" s="1">
        <f t="shared" si="147"/>
        <v>919.89</v>
      </c>
    </row>
    <row r="4687" spans="1:9" x14ac:dyDescent="0.2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 s="1">
        <f t="shared" si="146"/>
        <v>833.93000000000006</v>
      </c>
      <c r="H4687" s="1" t="str">
        <f>_xlfn.XLOOKUP(C4687,Product!A:A,Product!B:B,"not found",0)</f>
        <v>Sun Bicycles Atlas X-Type - 2017</v>
      </c>
      <c r="I4687" s="1">
        <f t="shared" si="147"/>
        <v>833.93000000000006</v>
      </c>
    </row>
    <row r="4688" spans="1:9" x14ac:dyDescent="0.2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 s="1">
        <f t="shared" si="146"/>
        <v>379.92</v>
      </c>
      <c r="H4688" s="1" t="str">
        <f>_xlfn.XLOOKUP(C4688,Product!A:A,Product!B:B,"not found",0)</f>
        <v>Haro Flightline One ST - 2017</v>
      </c>
      <c r="I4688" s="1">
        <f t="shared" si="147"/>
        <v>379.92</v>
      </c>
    </row>
    <row r="4689" spans="1:9" x14ac:dyDescent="0.2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 s="1">
        <f t="shared" si="146"/>
        <v>459.78000000000003</v>
      </c>
      <c r="H4689" s="1" t="str">
        <f>_xlfn.XLOOKUP(C4689,Product!A:A,Product!B:B,"not found",0)</f>
        <v>Trek Precaliber 20 Girl's - 2018</v>
      </c>
      <c r="I4689" s="1">
        <f t="shared" si="147"/>
        <v>459.78000000000003</v>
      </c>
    </row>
    <row r="4690" spans="1:9" x14ac:dyDescent="0.2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 s="1">
        <f t="shared" si="146"/>
        <v>1799.93</v>
      </c>
      <c r="H4690" s="1" t="str">
        <f>_xlfn.XLOOKUP(C4690,Product!A:A,Product!B:B,"not found",0)</f>
        <v>Electra Amsterdam Fashion 3i Ladies' - 2017/2018</v>
      </c>
      <c r="I4690" s="1">
        <f t="shared" si="147"/>
        <v>1799.93</v>
      </c>
    </row>
    <row r="4691" spans="1:9" x14ac:dyDescent="0.2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 s="1">
        <f t="shared" si="146"/>
        <v>459.93</v>
      </c>
      <c r="H4691" s="1" t="str">
        <f>_xlfn.XLOOKUP(C4691,Product!A:A,Product!B:B,"not found",0)</f>
        <v>Trek Precaliber 20 Girl's - 2018</v>
      </c>
      <c r="I4691" s="1">
        <f t="shared" si="147"/>
        <v>459.93</v>
      </c>
    </row>
    <row r="4692" spans="1:9" x14ac:dyDescent="0.2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 s="1">
        <f t="shared" si="146"/>
        <v>209.89000000000001</v>
      </c>
      <c r="H4692" s="1" t="str">
        <f>_xlfn.XLOOKUP(C4692,Product!A:A,Product!B:B,"not found",0)</f>
        <v>Trek Precaliber 16 Girl's - 2018</v>
      </c>
      <c r="I4692" s="1">
        <f t="shared" si="147"/>
        <v>209.89000000000001</v>
      </c>
    </row>
    <row r="4693" spans="1:9" x14ac:dyDescent="0.2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 s="1">
        <f t="shared" si="146"/>
        <v>619.89</v>
      </c>
      <c r="H4693" s="1" t="str">
        <f>_xlfn.XLOOKUP(C4693,Product!A:A,Product!B:B,"not found",0)</f>
        <v>Sun Bicycles Biscayne Tandem 7 - 2017</v>
      </c>
      <c r="I4693" s="1">
        <f t="shared" si="147"/>
        <v>619.89</v>
      </c>
    </row>
    <row r="4694" spans="1:9" x14ac:dyDescent="0.2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 s="1">
        <f t="shared" si="146"/>
        <v>4499.79</v>
      </c>
      <c r="H4694" s="1" t="str">
        <f>_xlfn.XLOOKUP(C4694,Product!A:A,Product!B:B,"not found",0)</f>
        <v>Trek CrossRip+ - 2018</v>
      </c>
      <c r="I4694" s="1">
        <f t="shared" si="147"/>
        <v>4499.79</v>
      </c>
    </row>
    <row r="4695" spans="1:9" x14ac:dyDescent="0.2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 s="1">
        <f t="shared" si="146"/>
        <v>2999.88</v>
      </c>
      <c r="H4695" s="1" t="str">
        <f>_xlfn.XLOOKUP(C4695,Product!A:A,Product!B:B,"not found",0)</f>
        <v>Trek Procal AL Frameset - 2018</v>
      </c>
      <c r="I4695" s="1">
        <f t="shared" si="147"/>
        <v>2999.88</v>
      </c>
    </row>
    <row r="4696" spans="1:9" x14ac:dyDescent="0.2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 s="1">
        <f t="shared" si="146"/>
        <v>899.89</v>
      </c>
      <c r="H4696" s="1" t="str">
        <f>_xlfn.XLOOKUP(C4696,Product!A:A,Product!B:B,"not found",0)</f>
        <v>Electra Townie Balloon 7i EQ - 2018</v>
      </c>
      <c r="I4696" s="1">
        <f t="shared" si="147"/>
        <v>899.89</v>
      </c>
    </row>
    <row r="4697" spans="1:9" x14ac:dyDescent="0.2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 s="1">
        <f t="shared" si="146"/>
        <v>999.92</v>
      </c>
      <c r="H4697" s="1" t="str">
        <f>_xlfn.XLOOKUP(C4697,Product!A:A,Product!B:B,"not found",0)</f>
        <v>Trek X-Caliber 8 - 2017</v>
      </c>
      <c r="I4697" s="1">
        <f t="shared" si="147"/>
        <v>999.92</v>
      </c>
    </row>
    <row r="4698" spans="1:9" x14ac:dyDescent="0.2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 s="1">
        <f t="shared" si="146"/>
        <v>659.89</v>
      </c>
      <c r="H4698" s="1" t="str">
        <f>_xlfn.XLOOKUP(C4698,Product!A:A,Product!B:B,"not found",0)</f>
        <v>Electra Townie Original 3i EQ - 2017/2018</v>
      </c>
      <c r="I4698" s="1">
        <f t="shared" si="147"/>
        <v>659.89</v>
      </c>
    </row>
    <row r="4699" spans="1:9" x14ac:dyDescent="0.2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 s="1">
        <f t="shared" si="146"/>
        <v>209.89000000000001</v>
      </c>
      <c r="H4699" s="1" t="str">
        <f>_xlfn.XLOOKUP(C4699,Product!A:A,Product!B:B,"not found",0)</f>
        <v>Trek Precaliber 16 Girl's - 2018</v>
      </c>
      <c r="I4699" s="1">
        <f t="shared" si="147"/>
        <v>209.89000000000001</v>
      </c>
    </row>
    <row r="4700" spans="1:9" x14ac:dyDescent="0.2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 s="1">
        <f t="shared" si="146"/>
        <v>999.94</v>
      </c>
      <c r="H4700" s="1" t="str">
        <f>_xlfn.XLOOKUP(C4700,Product!A:A,Product!B:B,"not found",0)</f>
        <v>Trek X-Caliber 8 - 2017</v>
      </c>
      <c r="I4700" s="1">
        <f t="shared" si="147"/>
        <v>999.94</v>
      </c>
    </row>
    <row r="4701" spans="1:9" x14ac:dyDescent="0.2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 s="1">
        <f t="shared" si="146"/>
        <v>1059.93</v>
      </c>
      <c r="H4701" s="1" t="str">
        <f>_xlfn.XLOOKUP(C4701,Product!A:A,Product!B:B,"not found",0)</f>
        <v>Electra Cruiser Lux 3i Ladies' - 2018</v>
      </c>
      <c r="I4701" s="1">
        <f t="shared" si="147"/>
        <v>1059.93</v>
      </c>
    </row>
    <row r="4702" spans="1:9" x14ac:dyDescent="0.2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 s="1">
        <f t="shared" si="146"/>
        <v>349.79</v>
      </c>
      <c r="H4702" s="1" t="str">
        <f>_xlfn.XLOOKUP(C4702,Product!A:A,Product!B:B,"not found",0)</f>
        <v>Electra Moto 3i (20-inch) - Boy's - 2017</v>
      </c>
      <c r="I4702" s="1">
        <f t="shared" si="147"/>
        <v>349.79</v>
      </c>
    </row>
    <row r="4703" spans="1:9" x14ac:dyDescent="0.2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 s="1">
        <f t="shared" si="146"/>
        <v>1499.78</v>
      </c>
      <c r="H4703" s="1" t="str">
        <f>_xlfn.XLOOKUP(C4703,Product!A:A,Product!B:B,"not found",0)</f>
        <v>Electra Townie Balloon 8D EQ - 2016/2017/2018</v>
      </c>
      <c r="I4703" s="1">
        <f t="shared" si="147"/>
        <v>1499.78</v>
      </c>
    </row>
    <row r="4704" spans="1:9" x14ac:dyDescent="0.2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 s="1">
        <f t="shared" si="146"/>
        <v>639.88</v>
      </c>
      <c r="H4704" s="1" t="str">
        <f>_xlfn.XLOOKUP(C4704,Product!A:A,Product!B:B,"not found",0)</f>
        <v>Electra Cruiser 7D Tall - 2016/2018</v>
      </c>
      <c r="I4704" s="1">
        <f t="shared" si="147"/>
        <v>639.88</v>
      </c>
    </row>
    <row r="4705" spans="1:9" x14ac:dyDescent="0.2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 s="1">
        <f t="shared" si="146"/>
        <v>533.79</v>
      </c>
      <c r="H4705" s="1" t="str">
        <f>_xlfn.XLOOKUP(C4705,Product!A:A,Product!B:B,"not found",0)</f>
        <v>Sun Bicycles Streamway 7 - 2017</v>
      </c>
      <c r="I4705" s="1">
        <f t="shared" si="147"/>
        <v>533.79</v>
      </c>
    </row>
    <row r="4706" spans="1:9" x14ac:dyDescent="0.2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 s="1">
        <f t="shared" si="146"/>
        <v>832.92</v>
      </c>
      <c r="H4706" s="1" t="str">
        <f>_xlfn.XLOOKUP(C4706,Product!A:A,Product!B:B,"not found",0)</f>
        <v>Surly Troll Frameset - 2017</v>
      </c>
      <c r="I4706" s="1">
        <f t="shared" si="147"/>
        <v>832.92</v>
      </c>
    </row>
    <row r="4707" spans="1:9" x14ac:dyDescent="0.2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 s="1">
        <f t="shared" si="146"/>
        <v>6399.78</v>
      </c>
      <c r="H4707" s="1" t="str">
        <f>_xlfn.XLOOKUP(C4707,Product!A:A,Product!B:B,"not found",0)</f>
        <v>Trek Domane ALR Frameset - 2018</v>
      </c>
      <c r="I4707" s="1">
        <f t="shared" si="147"/>
        <v>6399.78</v>
      </c>
    </row>
    <row r="4708" spans="1:9" x14ac:dyDescent="0.2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 s="1">
        <f t="shared" si="146"/>
        <v>2799.9199999999996</v>
      </c>
      <c r="H4708" s="1" t="str">
        <f>_xlfn.XLOOKUP(C4708,Product!A:A,Product!B:B,"not found",0)</f>
        <v>Electra Loft Go! 8i - 2018</v>
      </c>
      <c r="I4708" s="1">
        <f t="shared" si="147"/>
        <v>2799.9199999999996</v>
      </c>
    </row>
    <row r="4709" spans="1:9" x14ac:dyDescent="0.2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 s="1">
        <f t="shared" si="146"/>
        <v>6399.8799999999992</v>
      </c>
      <c r="H4709" s="1" t="str">
        <f>_xlfn.XLOOKUP(C4709,Product!A:A,Product!B:B,"not found",0)</f>
        <v>Trek Domane SL 6 - 2018</v>
      </c>
      <c r="I4709" s="1">
        <f t="shared" si="147"/>
        <v>6399.8799999999992</v>
      </c>
    </row>
    <row r="4710" spans="1:9" x14ac:dyDescent="0.2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 s="1">
        <f t="shared" si="146"/>
        <v>749.79</v>
      </c>
      <c r="H4710" s="1" t="str">
        <f>_xlfn.XLOOKUP(C4710,Product!A:A,Product!B:B,"not found",0)</f>
        <v>Electra Morningstar 3i Ladies' - 2018</v>
      </c>
      <c r="I4710" s="1">
        <f t="shared" si="147"/>
        <v>749.79</v>
      </c>
    </row>
    <row r="4711" spans="1:9" x14ac:dyDescent="0.2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 s="1">
        <f t="shared" si="146"/>
        <v>699.89</v>
      </c>
      <c r="H4711" s="1" t="str">
        <f>_xlfn.XLOOKUP(C4711,Product!A:A,Product!B:B,"not found",0)</f>
        <v>Electra Townie Commute 8D Ladies' - 2018</v>
      </c>
      <c r="I4711" s="1">
        <f t="shared" si="147"/>
        <v>699.89</v>
      </c>
    </row>
    <row r="4712" spans="1:9" x14ac:dyDescent="0.2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 s="1">
        <f t="shared" si="146"/>
        <v>639.93000000000006</v>
      </c>
      <c r="H4712" s="1" t="str">
        <f>_xlfn.XLOOKUP(C4712,Product!A:A,Product!B:B,"not found",0)</f>
        <v>Electra Superbolt 1 20" - 2018</v>
      </c>
      <c r="I4712" s="1">
        <f t="shared" si="147"/>
        <v>639.93000000000006</v>
      </c>
    </row>
    <row r="4713" spans="1:9" x14ac:dyDescent="0.2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 s="1">
        <f t="shared" si="146"/>
        <v>679.78</v>
      </c>
      <c r="H4713" s="1" t="str">
        <f>_xlfn.XLOOKUP(C4713,Product!A:A,Product!B:B,"not found",0)</f>
        <v>Electra Townie 7D (20-inch) - Boys' - 2017</v>
      </c>
      <c r="I4713" s="1">
        <f t="shared" si="147"/>
        <v>679.78</v>
      </c>
    </row>
    <row r="4714" spans="1:9" x14ac:dyDescent="0.2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 s="1">
        <f t="shared" si="146"/>
        <v>639.91</v>
      </c>
      <c r="H4714" s="1" t="str">
        <f>_xlfn.XLOOKUP(C4714,Product!A:A,Product!B:B,"not found",0)</f>
        <v>Electra Tiger Shark 1 (20-inch) - Boys' - 2018</v>
      </c>
      <c r="I4714" s="1">
        <f t="shared" si="147"/>
        <v>639.91</v>
      </c>
    </row>
    <row r="4715" spans="1:9" x14ac:dyDescent="0.2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 s="1">
        <f t="shared" si="146"/>
        <v>1559.89</v>
      </c>
      <c r="H4715" s="1" t="str">
        <f>_xlfn.XLOOKUP(C4715,Product!A:A,Product!B:B,"not found",0)</f>
        <v>Sun Bicycles ElectroLite - 2017</v>
      </c>
      <c r="I4715" s="1">
        <f t="shared" si="147"/>
        <v>1559.89</v>
      </c>
    </row>
    <row r="4716" spans="1:9" x14ac:dyDescent="0.2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 s="1">
        <f t="shared" si="146"/>
        <v>4999.92</v>
      </c>
      <c r="H4716" s="1" t="str">
        <f>_xlfn.XLOOKUP(C4716,Product!A:A,Product!B:B,"not found",0)</f>
        <v>Trek Domane SL 7 Women's - 2018</v>
      </c>
      <c r="I4716" s="1">
        <f t="shared" si="147"/>
        <v>4999.92</v>
      </c>
    </row>
    <row r="4717" spans="1:9" x14ac:dyDescent="0.2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 s="1">
        <f t="shared" si="146"/>
        <v>639.93000000000006</v>
      </c>
      <c r="H4717" s="1" t="str">
        <f>_xlfn.XLOOKUP(C4717,Product!A:A,Product!B:B,"not found",0)</f>
        <v>Electra Heartchya 1 (20-inch) - Girl's - 2018</v>
      </c>
      <c r="I4717" s="1">
        <f t="shared" si="147"/>
        <v>639.93000000000006</v>
      </c>
    </row>
    <row r="4718" spans="1:9" x14ac:dyDescent="0.2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 s="1">
        <f t="shared" si="146"/>
        <v>1498.93</v>
      </c>
      <c r="H4718" s="1" t="str">
        <f>_xlfn.XLOOKUP(C4718,Product!A:A,Product!B:B,"not found",0)</f>
        <v>Surly Krampus - 2018</v>
      </c>
      <c r="I4718" s="1">
        <f t="shared" si="147"/>
        <v>1498.93</v>
      </c>
    </row>
    <row r="4719" spans="1:9" x14ac:dyDescent="0.2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 s="1">
        <f t="shared" si="146"/>
        <v>4599.91</v>
      </c>
      <c r="H4719" s="1" t="str">
        <f>_xlfn.XLOOKUP(C4719,Product!A:A,Product!B:B,"not found",0)</f>
        <v>Trek Emonda ALR 6 - 2018</v>
      </c>
      <c r="I4719" s="1">
        <f t="shared" si="147"/>
        <v>4599.91</v>
      </c>
    </row>
    <row r="4720" spans="1:9" x14ac:dyDescent="0.2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 s="1">
        <f t="shared" si="146"/>
        <v>539.78</v>
      </c>
      <c r="H4720" s="1" t="str">
        <f>_xlfn.XLOOKUP(C4720,Product!A:A,Product!B:B,"not found",0)</f>
        <v>Electra Cruiser 1 - 2016/2017/2018</v>
      </c>
      <c r="I4720" s="1">
        <f t="shared" si="147"/>
        <v>539.78</v>
      </c>
    </row>
    <row r="4721" spans="1:9" x14ac:dyDescent="0.2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 s="1">
        <f t="shared" si="146"/>
        <v>4599.78</v>
      </c>
      <c r="H4721" s="1" t="str">
        <f>_xlfn.XLOOKUP(C4721,Product!A:A,Product!B:B,"not found",0)</f>
        <v>Trek Verve+ Lowstep - 2018</v>
      </c>
      <c r="I4721" s="1">
        <f t="shared" si="147"/>
        <v>4599.78</v>
      </c>
    </row>
    <row r="4722" spans="1:9" x14ac:dyDescent="0.2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 s="1">
        <f t="shared" si="146"/>
        <v>899.92</v>
      </c>
      <c r="H4722" s="1" t="str">
        <f>_xlfn.XLOOKUP(C4722,Product!A:A,Product!B:B,"not found",0)</f>
        <v>Electra Tiger Shark 3i - 2018</v>
      </c>
      <c r="I4722" s="1">
        <f t="shared" si="147"/>
        <v>899.92</v>
      </c>
    </row>
    <row r="4723" spans="1:9" x14ac:dyDescent="0.2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 s="1">
        <f t="shared" si="146"/>
        <v>2499.79</v>
      </c>
      <c r="H4723" s="1" t="str">
        <f>_xlfn.XLOOKUP(C4723,Product!A:A,Product!B:B,"not found",0)</f>
        <v>Trek Domane SL 5 Disc - 2018</v>
      </c>
      <c r="I4723" s="1">
        <f t="shared" si="147"/>
        <v>2499.79</v>
      </c>
    </row>
  </sheetData>
  <autoFilter ref="A1:H4723" xr:uid="{11FE44FC-EA8F-45AF-BD3A-F7776C7040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E912-7ABD-4027-ADEE-E7A9379EC573}">
  <dimension ref="A1:H322"/>
  <sheetViews>
    <sheetView tabSelected="1" workbookViewId="0">
      <selection activeCell="I1" sqref="I1"/>
    </sheetView>
  </sheetViews>
  <sheetFormatPr defaultRowHeight="15" x14ac:dyDescent="0.25"/>
  <cols>
    <col min="1" max="1" width="10.42578125" bestFit="1" customWidth="1"/>
    <col min="2" max="2" width="49.42578125" bestFit="1" customWidth="1"/>
    <col min="3" max="3" width="8.85546875" bestFit="1" customWidth="1"/>
    <col min="4" max="4" width="11" bestFit="1" customWidth="1"/>
    <col min="5" max="5" width="11.140625" bestFit="1" customWidth="1"/>
    <col min="6" max="6" width="9" bestFit="1" customWidth="1"/>
    <col min="7" max="7" width="16.5703125" customWidth="1"/>
    <col min="8" max="8" width="11" customWidth="1"/>
  </cols>
  <sheetData>
    <row r="1" spans="1:8" x14ac:dyDescent="0.25">
      <c r="A1" t="s">
        <v>2</v>
      </c>
      <c r="B1" t="s">
        <v>7</v>
      </c>
      <c r="C1" t="s">
        <v>8</v>
      </c>
      <c r="D1" t="s">
        <v>9</v>
      </c>
      <c r="E1" t="s">
        <v>10</v>
      </c>
      <c r="F1" t="s">
        <v>4</v>
      </c>
      <c r="G1" s="1" t="s">
        <v>303</v>
      </c>
      <c r="H1" s="1" t="s">
        <v>312</v>
      </c>
    </row>
    <row r="2" spans="1:8" x14ac:dyDescent="0.25">
      <c r="A2">
        <v>1</v>
      </c>
      <c r="B2" t="s">
        <v>11</v>
      </c>
      <c r="C2">
        <v>9</v>
      </c>
      <c r="D2">
        <v>6</v>
      </c>
      <c r="E2">
        <v>2016</v>
      </c>
      <c r="F2">
        <v>379.99</v>
      </c>
      <c r="G2" s="1" t="str">
        <f>_xlfn.XLOOKUP(D2,category!A:A,category!B:B,"not found",0)</f>
        <v>Mountain Bikes</v>
      </c>
      <c r="H2" s="1">
        <f>(order_items!D2*order_items!E2)-order_items!F2</f>
        <v>599.79</v>
      </c>
    </row>
    <row r="3" spans="1:8" x14ac:dyDescent="0.25">
      <c r="A3">
        <v>2</v>
      </c>
      <c r="B3" t="s">
        <v>12</v>
      </c>
      <c r="C3">
        <v>5</v>
      </c>
      <c r="D3">
        <v>6</v>
      </c>
      <c r="E3">
        <v>2016</v>
      </c>
      <c r="F3">
        <v>749.99</v>
      </c>
      <c r="G3" s="1" t="str">
        <f>_xlfn.XLOOKUP(D3,category!A:A,category!B:B,"not found",0)</f>
        <v>Mountain Bikes</v>
      </c>
      <c r="H3" s="1">
        <f>(order_items!D3*order_items!E3)-order_items!F3</f>
        <v>3599.91</v>
      </c>
    </row>
    <row r="4" spans="1:8" x14ac:dyDescent="0.25">
      <c r="A4">
        <v>3</v>
      </c>
      <c r="B4" t="s">
        <v>13</v>
      </c>
      <c r="C4">
        <v>8</v>
      </c>
      <c r="D4">
        <v>6</v>
      </c>
      <c r="E4">
        <v>2016</v>
      </c>
      <c r="F4">
        <v>999.99</v>
      </c>
      <c r="G4" s="1" t="str">
        <f>_xlfn.XLOOKUP(D4,category!A:A,category!B:B,"not found",0)</f>
        <v>Mountain Bikes</v>
      </c>
      <c r="H4" s="1">
        <f>(order_items!D4*order_items!E4)-order_items!F4</f>
        <v>3097.95</v>
      </c>
    </row>
    <row r="5" spans="1:8" x14ac:dyDescent="0.25">
      <c r="A5">
        <v>4</v>
      </c>
      <c r="B5" t="s">
        <v>14</v>
      </c>
      <c r="C5">
        <v>9</v>
      </c>
      <c r="D5">
        <v>6</v>
      </c>
      <c r="E5">
        <v>2016</v>
      </c>
      <c r="F5">
        <v>2899.99</v>
      </c>
      <c r="G5" s="1" t="str">
        <f>_xlfn.XLOOKUP(D5,category!A:A,category!B:B,"not found",0)</f>
        <v>Mountain Bikes</v>
      </c>
      <c r="H5" s="1">
        <f>(order_items!D5*order_items!E5)-order_items!F5</f>
        <v>1199.93</v>
      </c>
    </row>
    <row r="6" spans="1:8" x14ac:dyDescent="0.25">
      <c r="A6">
        <v>5</v>
      </c>
      <c r="B6" t="s">
        <v>15</v>
      </c>
      <c r="C6">
        <v>3</v>
      </c>
      <c r="D6">
        <v>6</v>
      </c>
      <c r="E6">
        <v>2016</v>
      </c>
      <c r="F6">
        <v>1320.99</v>
      </c>
      <c r="G6" s="1" t="str">
        <f>_xlfn.XLOOKUP(D6,category!A:A,category!B:B,"not found",0)</f>
        <v>Mountain Bikes</v>
      </c>
      <c r="H6" s="1">
        <f>(order_items!D6*order_items!E6)-order_items!F6</f>
        <v>2899.79</v>
      </c>
    </row>
    <row r="7" spans="1:8" x14ac:dyDescent="0.25">
      <c r="A7">
        <v>6</v>
      </c>
      <c r="B7" t="s">
        <v>16</v>
      </c>
      <c r="C7">
        <v>8</v>
      </c>
      <c r="D7">
        <v>6</v>
      </c>
      <c r="E7">
        <v>2016</v>
      </c>
      <c r="F7">
        <v>469.99</v>
      </c>
      <c r="G7" s="1" t="str">
        <f>_xlfn.XLOOKUP(D7,category!A:A,category!B:B,"not found",0)</f>
        <v>Mountain Bikes</v>
      </c>
      <c r="H7" s="1">
        <f>(order_items!D7*order_items!E7)-order_items!F7</f>
        <v>599.91999999999996</v>
      </c>
    </row>
    <row r="8" spans="1:8" x14ac:dyDescent="0.25">
      <c r="A8">
        <v>7</v>
      </c>
      <c r="B8" t="s">
        <v>17</v>
      </c>
      <c r="C8">
        <v>9</v>
      </c>
      <c r="D8">
        <v>6</v>
      </c>
      <c r="E8">
        <v>2016</v>
      </c>
      <c r="F8">
        <v>3999.99</v>
      </c>
      <c r="G8" s="1" t="str">
        <f>_xlfn.XLOOKUP(D8,category!A:A,category!B:B,"not found",0)</f>
        <v>Mountain Bikes</v>
      </c>
      <c r="H8" s="1">
        <f>(order_items!D8*order_items!E8)-order_items!F8</f>
        <v>1199.93</v>
      </c>
    </row>
    <row r="9" spans="1:8" x14ac:dyDescent="0.25">
      <c r="A9">
        <v>8</v>
      </c>
      <c r="B9" t="s">
        <v>18</v>
      </c>
      <c r="C9">
        <v>9</v>
      </c>
      <c r="D9">
        <v>6</v>
      </c>
      <c r="E9">
        <v>2016</v>
      </c>
      <c r="F9">
        <v>1799.99</v>
      </c>
      <c r="G9" s="1" t="str">
        <f>_xlfn.XLOOKUP(D9,category!A:A,category!B:B,"not found",0)</f>
        <v>Mountain Bikes</v>
      </c>
      <c r="H9" s="1">
        <f>(order_items!D9*order_items!E9)-order_items!F9</f>
        <v>999.94</v>
      </c>
    </row>
    <row r="10" spans="1:8" x14ac:dyDescent="0.25">
      <c r="A10">
        <v>9</v>
      </c>
      <c r="B10" t="s">
        <v>19</v>
      </c>
      <c r="C10">
        <v>9</v>
      </c>
      <c r="D10">
        <v>5</v>
      </c>
      <c r="E10">
        <v>2016</v>
      </c>
      <c r="F10">
        <v>2999.99</v>
      </c>
      <c r="G10" s="1" t="str">
        <f>_xlfn.XLOOKUP(D10,category!A:A,category!B:B,"not found",0)</f>
        <v>Electric Bikes</v>
      </c>
      <c r="H10" s="1">
        <f>(order_items!D10*order_items!E10)-order_items!F10</f>
        <v>599.94000000000005</v>
      </c>
    </row>
    <row r="11" spans="1:8" x14ac:dyDescent="0.25">
      <c r="A11">
        <v>10</v>
      </c>
      <c r="B11" t="s">
        <v>20</v>
      </c>
      <c r="C11">
        <v>8</v>
      </c>
      <c r="D11">
        <v>4</v>
      </c>
      <c r="E11">
        <v>2016</v>
      </c>
      <c r="F11">
        <v>1549</v>
      </c>
      <c r="G11" s="1" t="str">
        <f>_xlfn.XLOOKUP(D11,category!A:A,category!B:B,"not found",0)</f>
        <v>Cyclocross Bicycles</v>
      </c>
      <c r="H11" s="1">
        <f>(order_items!D11*order_items!E11)-order_items!F11</f>
        <v>1499.88</v>
      </c>
    </row>
    <row r="12" spans="1:8" x14ac:dyDescent="0.25">
      <c r="A12">
        <v>11</v>
      </c>
      <c r="B12" t="s">
        <v>21</v>
      </c>
      <c r="C12">
        <v>8</v>
      </c>
      <c r="D12">
        <v>4</v>
      </c>
      <c r="E12">
        <v>2016</v>
      </c>
      <c r="F12">
        <v>1680.99</v>
      </c>
      <c r="G12" s="1" t="str">
        <f>_xlfn.XLOOKUP(D12,category!A:A,category!B:B,"not found",0)</f>
        <v>Cyclocross Bicycles</v>
      </c>
      <c r="H12" s="1">
        <f>(order_items!D12*order_items!E12)-order_items!F12</f>
        <v>3097.95</v>
      </c>
    </row>
    <row r="13" spans="1:8" x14ac:dyDescent="0.25">
      <c r="A13">
        <v>12</v>
      </c>
      <c r="B13" t="s">
        <v>22</v>
      </c>
      <c r="C13">
        <v>1</v>
      </c>
      <c r="D13">
        <v>3</v>
      </c>
      <c r="E13">
        <v>2016</v>
      </c>
      <c r="F13">
        <v>549.99</v>
      </c>
      <c r="G13" s="1" t="str">
        <f>_xlfn.XLOOKUP(D13,category!A:A,category!B:B,"not found",0)</f>
        <v>Cruisers Bicycles</v>
      </c>
      <c r="H13" s="1">
        <f>(order_items!D13*order_items!E13)-order_items!F13</f>
        <v>428.93</v>
      </c>
    </row>
    <row r="14" spans="1:8" x14ac:dyDescent="0.25">
      <c r="A14">
        <v>13</v>
      </c>
      <c r="B14" t="s">
        <v>23</v>
      </c>
      <c r="C14">
        <v>1</v>
      </c>
      <c r="D14">
        <v>3</v>
      </c>
      <c r="E14">
        <v>2016</v>
      </c>
      <c r="F14">
        <v>269.99</v>
      </c>
      <c r="G14" s="1" t="str">
        <f>_xlfn.XLOOKUP(D14,category!A:A,category!B:B,"not found",0)</f>
        <v>Cruisers Bicycles</v>
      </c>
      <c r="H14" s="1">
        <f>(order_items!D14*order_items!E14)-order_items!F14</f>
        <v>599.91999999999996</v>
      </c>
    </row>
    <row r="15" spans="1:8" x14ac:dyDescent="0.25">
      <c r="A15">
        <v>14</v>
      </c>
      <c r="B15" t="s">
        <v>24</v>
      </c>
      <c r="C15">
        <v>1</v>
      </c>
      <c r="D15">
        <v>3</v>
      </c>
      <c r="E15">
        <v>2016</v>
      </c>
      <c r="F15">
        <v>269.99</v>
      </c>
      <c r="G15" s="1" t="str">
        <f>_xlfn.XLOOKUP(D15,category!A:A,category!B:B,"not found",0)</f>
        <v>Cruisers Bicycles</v>
      </c>
      <c r="H15" s="1">
        <f>(order_items!D15*order_items!E15)-order_items!F15</f>
        <v>448.93</v>
      </c>
    </row>
    <row r="16" spans="1:8" x14ac:dyDescent="0.25">
      <c r="A16">
        <v>15</v>
      </c>
      <c r="B16" t="s">
        <v>25</v>
      </c>
      <c r="C16">
        <v>1</v>
      </c>
      <c r="D16">
        <v>3</v>
      </c>
      <c r="E16">
        <v>2016</v>
      </c>
      <c r="F16">
        <v>529.99</v>
      </c>
      <c r="G16" s="1" t="str">
        <f>_xlfn.XLOOKUP(D16,category!A:A,category!B:B,"not found",0)</f>
        <v>Cruisers Bicycles</v>
      </c>
      <c r="H16" s="1">
        <f>(order_items!D16*order_items!E16)-order_items!F16</f>
        <v>1099.93</v>
      </c>
    </row>
    <row r="17" spans="1:8" x14ac:dyDescent="0.25">
      <c r="A17">
        <v>16</v>
      </c>
      <c r="B17" t="s">
        <v>26</v>
      </c>
      <c r="C17">
        <v>1</v>
      </c>
      <c r="D17">
        <v>3</v>
      </c>
      <c r="E17">
        <v>2016</v>
      </c>
      <c r="F17">
        <v>599.99</v>
      </c>
      <c r="G17" s="1" t="str">
        <f>_xlfn.XLOOKUP(D17,category!A:A,category!B:B,"not found",0)</f>
        <v>Cruisers Bicycles</v>
      </c>
      <c r="H17" s="1">
        <f>(order_items!D17*order_items!E17)-order_items!F17</f>
        <v>599.89</v>
      </c>
    </row>
    <row r="18" spans="1:8" x14ac:dyDescent="0.25">
      <c r="A18">
        <v>17</v>
      </c>
      <c r="B18" t="s">
        <v>27</v>
      </c>
      <c r="C18">
        <v>4</v>
      </c>
      <c r="D18">
        <v>3</v>
      </c>
      <c r="E18">
        <v>2016</v>
      </c>
      <c r="F18">
        <v>429</v>
      </c>
      <c r="G18" s="1" t="str">
        <f>_xlfn.XLOOKUP(D18,category!A:A,category!B:B,"not found",0)</f>
        <v>Cruisers Bicycles</v>
      </c>
      <c r="H18" s="1">
        <f>(order_items!D18*order_items!E18)-order_items!F18</f>
        <v>1999.91</v>
      </c>
    </row>
    <row r="19" spans="1:8" x14ac:dyDescent="0.25">
      <c r="A19">
        <v>18</v>
      </c>
      <c r="B19" t="s">
        <v>28</v>
      </c>
      <c r="C19">
        <v>4</v>
      </c>
      <c r="D19">
        <v>3</v>
      </c>
      <c r="E19">
        <v>2016</v>
      </c>
      <c r="F19">
        <v>449</v>
      </c>
      <c r="G19" s="1" t="str">
        <f>_xlfn.XLOOKUP(D19,category!A:A,category!B:B,"not found",0)</f>
        <v>Cruisers Bicycles</v>
      </c>
      <c r="H19" s="1">
        <f>(order_items!D19*order_items!E19)-order_items!F19</f>
        <v>5999.91</v>
      </c>
    </row>
    <row r="20" spans="1:8" x14ac:dyDescent="0.25">
      <c r="A20">
        <v>19</v>
      </c>
      <c r="B20" t="s">
        <v>29</v>
      </c>
      <c r="C20">
        <v>4</v>
      </c>
      <c r="D20">
        <v>3</v>
      </c>
      <c r="E20">
        <v>2016</v>
      </c>
      <c r="F20">
        <v>449</v>
      </c>
      <c r="G20" s="1" t="str">
        <f>_xlfn.XLOOKUP(D20,category!A:A,category!B:B,"not found",0)</f>
        <v>Cruisers Bicycles</v>
      </c>
      <c r="H20" s="1">
        <f>(order_items!D20*order_items!E20)-order_items!F20</f>
        <v>529.91999999999996</v>
      </c>
    </row>
    <row r="21" spans="1:8" x14ac:dyDescent="0.25">
      <c r="A21">
        <v>20</v>
      </c>
      <c r="B21" t="s">
        <v>30</v>
      </c>
      <c r="C21">
        <v>1</v>
      </c>
      <c r="D21">
        <v>3</v>
      </c>
      <c r="E21">
        <v>2016</v>
      </c>
      <c r="F21">
        <v>599.99</v>
      </c>
      <c r="G21" s="1" t="str">
        <f>_xlfn.XLOOKUP(D21,category!A:A,category!B:B,"not found",0)</f>
        <v>Cruisers Bicycles</v>
      </c>
      <c r="H21" s="1">
        <f>(order_items!D21*order_items!E21)-order_items!F21</f>
        <v>999.89</v>
      </c>
    </row>
    <row r="22" spans="1:8" x14ac:dyDescent="0.25">
      <c r="A22">
        <v>21</v>
      </c>
      <c r="B22" t="s">
        <v>23</v>
      </c>
      <c r="C22">
        <v>1</v>
      </c>
      <c r="D22">
        <v>1</v>
      </c>
      <c r="E22">
        <v>2016</v>
      </c>
      <c r="F22">
        <v>269.99</v>
      </c>
      <c r="G22" s="1" t="str">
        <f>_xlfn.XLOOKUP(D22,category!A:A,category!B:B,"not found",0)</f>
        <v>Children Bicycles</v>
      </c>
      <c r="H22" s="1">
        <f>(order_items!D22*order_items!E22)-order_items!F22</f>
        <v>857.9</v>
      </c>
    </row>
    <row r="23" spans="1:8" x14ac:dyDescent="0.25">
      <c r="A23">
        <v>22</v>
      </c>
      <c r="B23" t="s">
        <v>24</v>
      </c>
      <c r="C23">
        <v>1</v>
      </c>
      <c r="D23">
        <v>1</v>
      </c>
      <c r="E23">
        <v>2016</v>
      </c>
      <c r="F23">
        <v>269.99</v>
      </c>
      <c r="G23" s="1" t="str">
        <f>_xlfn.XLOOKUP(D23,category!A:A,category!B:B,"not found",0)</f>
        <v>Children Bicycles</v>
      </c>
      <c r="H23" s="1">
        <f>(order_items!D23*order_items!E23)-order_items!F23</f>
        <v>269.94</v>
      </c>
    </row>
    <row r="24" spans="1:8" x14ac:dyDescent="0.25">
      <c r="A24">
        <v>23</v>
      </c>
      <c r="B24" t="s">
        <v>31</v>
      </c>
      <c r="C24">
        <v>1</v>
      </c>
      <c r="D24">
        <v>1</v>
      </c>
      <c r="E24">
        <v>2016</v>
      </c>
      <c r="F24">
        <v>299.99</v>
      </c>
      <c r="G24" s="1" t="str">
        <f>_xlfn.XLOOKUP(D24,category!A:A,category!B:B,"not found",0)</f>
        <v>Children Bicycles</v>
      </c>
      <c r="H24" s="1">
        <f>(order_items!D24*order_items!E24)-order_items!F24</f>
        <v>1199.9100000000001</v>
      </c>
    </row>
    <row r="25" spans="1:8" x14ac:dyDescent="0.25">
      <c r="A25">
        <v>24</v>
      </c>
      <c r="B25" t="s">
        <v>22</v>
      </c>
      <c r="C25">
        <v>1</v>
      </c>
      <c r="D25">
        <v>2</v>
      </c>
      <c r="E25">
        <v>2016</v>
      </c>
      <c r="F25">
        <v>549.99</v>
      </c>
      <c r="G25" s="1" t="str">
        <f>_xlfn.XLOOKUP(D25,category!A:A,category!B:B,"not found",0)</f>
        <v>Comfort Bicycles</v>
      </c>
      <c r="H25" s="1">
        <f>(order_items!D25*order_items!E25)-order_items!F25</f>
        <v>7999.8799999999992</v>
      </c>
    </row>
    <row r="26" spans="1:8" x14ac:dyDescent="0.25">
      <c r="A26">
        <v>25</v>
      </c>
      <c r="B26" t="s">
        <v>32</v>
      </c>
      <c r="C26">
        <v>1</v>
      </c>
      <c r="D26">
        <v>2</v>
      </c>
      <c r="E26">
        <v>2016</v>
      </c>
      <c r="F26">
        <v>499.99</v>
      </c>
      <c r="G26" s="1" t="str">
        <f>_xlfn.XLOOKUP(D26,category!A:A,category!B:B,"not found",0)</f>
        <v>Comfort Bicycles</v>
      </c>
      <c r="H26" s="1">
        <f>(order_items!D26*order_items!E26)-order_items!F26</f>
        <v>269.89</v>
      </c>
    </row>
    <row r="27" spans="1:8" x14ac:dyDescent="0.25">
      <c r="A27">
        <v>26</v>
      </c>
      <c r="B27" t="s">
        <v>26</v>
      </c>
      <c r="C27">
        <v>1</v>
      </c>
      <c r="D27">
        <v>2</v>
      </c>
      <c r="E27">
        <v>2016</v>
      </c>
      <c r="F27">
        <v>599.99</v>
      </c>
      <c r="G27" s="1" t="str">
        <f>_xlfn.XLOOKUP(D27,category!A:A,category!B:B,"not found",0)</f>
        <v>Comfort Bicycles</v>
      </c>
      <c r="H27" s="1">
        <f>(order_items!D27*order_items!E27)-order_items!F27</f>
        <v>1799.94</v>
      </c>
    </row>
    <row r="28" spans="1:8" x14ac:dyDescent="0.25">
      <c r="A28">
        <v>27</v>
      </c>
      <c r="B28" t="s">
        <v>33</v>
      </c>
      <c r="C28">
        <v>8</v>
      </c>
      <c r="D28">
        <v>6</v>
      </c>
      <c r="E28">
        <v>2017</v>
      </c>
      <c r="F28">
        <v>999.99</v>
      </c>
      <c r="G28" s="1" t="str">
        <f>_xlfn.XLOOKUP(D28,category!A:A,category!B:B,"not found",0)</f>
        <v>Mountain Bikes</v>
      </c>
      <c r="H28" s="1">
        <f>(order_items!D28*order_items!E28)-order_items!F28</f>
        <v>539.88</v>
      </c>
    </row>
    <row r="29" spans="1:8" x14ac:dyDescent="0.25">
      <c r="A29">
        <v>28</v>
      </c>
      <c r="B29" t="s">
        <v>34</v>
      </c>
      <c r="C29">
        <v>8</v>
      </c>
      <c r="D29">
        <v>6</v>
      </c>
      <c r="E29">
        <v>2017</v>
      </c>
      <c r="F29">
        <v>2499.9899999999998</v>
      </c>
      <c r="G29" s="1" t="str">
        <f>_xlfn.XLOOKUP(D29,category!A:A,category!B:B,"not found",0)</f>
        <v>Mountain Bikes</v>
      </c>
      <c r="H29" s="1">
        <f>(order_items!D29*order_items!E29)-order_items!F29</f>
        <v>1199.78</v>
      </c>
    </row>
    <row r="30" spans="1:8" x14ac:dyDescent="0.25">
      <c r="A30">
        <v>29</v>
      </c>
      <c r="B30" t="s">
        <v>35</v>
      </c>
      <c r="C30">
        <v>9</v>
      </c>
      <c r="D30">
        <v>6</v>
      </c>
      <c r="E30">
        <v>2017</v>
      </c>
      <c r="F30">
        <v>999.99</v>
      </c>
      <c r="G30" s="1" t="str">
        <f>_xlfn.XLOOKUP(D30,category!A:A,category!B:B,"not found",0)</f>
        <v>Mountain Bikes</v>
      </c>
      <c r="H30" s="1">
        <f>(order_items!D30*order_items!E30)-order_items!F30</f>
        <v>5799.8799999999992</v>
      </c>
    </row>
    <row r="31" spans="1:8" x14ac:dyDescent="0.25">
      <c r="A31">
        <v>30</v>
      </c>
      <c r="B31" t="s">
        <v>36</v>
      </c>
      <c r="C31">
        <v>8</v>
      </c>
      <c r="D31">
        <v>6</v>
      </c>
      <c r="E31">
        <v>2017</v>
      </c>
      <c r="F31">
        <v>999.99</v>
      </c>
      <c r="G31" s="1" t="str">
        <f>_xlfn.XLOOKUP(D31,category!A:A,category!B:B,"not found",0)</f>
        <v>Mountain Bikes</v>
      </c>
      <c r="H31" s="1">
        <f>(order_items!D31*order_items!E31)-order_items!F31</f>
        <v>1680.94</v>
      </c>
    </row>
    <row r="32" spans="1:8" x14ac:dyDescent="0.25">
      <c r="A32">
        <v>31</v>
      </c>
      <c r="B32" t="s">
        <v>37</v>
      </c>
      <c r="C32">
        <v>8</v>
      </c>
      <c r="D32">
        <v>6</v>
      </c>
      <c r="E32">
        <v>2017</v>
      </c>
      <c r="F32">
        <v>1632.99</v>
      </c>
      <c r="G32" s="1" t="str">
        <f>_xlfn.XLOOKUP(D32,category!A:A,category!B:B,"not found",0)</f>
        <v>Mountain Bikes</v>
      </c>
      <c r="H32" s="1">
        <f>(order_items!D32*order_items!E32)-order_items!F32</f>
        <v>269.89</v>
      </c>
    </row>
    <row r="33" spans="1:8" x14ac:dyDescent="0.25">
      <c r="A33">
        <v>32</v>
      </c>
      <c r="B33" t="s">
        <v>38</v>
      </c>
      <c r="C33">
        <v>9</v>
      </c>
      <c r="D33">
        <v>6</v>
      </c>
      <c r="E33">
        <v>2017</v>
      </c>
      <c r="F33">
        <v>469.99</v>
      </c>
      <c r="G33" s="1" t="str">
        <f>_xlfn.XLOOKUP(D33,category!A:A,category!B:B,"not found",0)</f>
        <v>Mountain Bikes</v>
      </c>
      <c r="H33" s="1">
        <f>(order_items!D33*order_items!E33)-order_items!F33</f>
        <v>857.95</v>
      </c>
    </row>
    <row r="34" spans="1:8" x14ac:dyDescent="0.25">
      <c r="A34">
        <v>33</v>
      </c>
      <c r="B34" t="s">
        <v>39</v>
      </c>
      <c r="C34">
        <v>8</v>
      </c>
      <c r="D34">
        <v>6</v>
      </c>
      <c r="E34">
        <v>2017</v>
      </c>
      <c r="F34">
        <v>469.99</v>
      </c>
      <c r="G34" s="1" t="str">
        <f>_xlfn.XLOOKUP(D34,category!A:A,category!B:B,"not found",0)</f>
        <v>Mountain Bikes</v>
      </c>
      <c r="H34" s="1">
        <f>(order_items!D34*order_items!E34)-order_items!F34</f>
        <v>1199.8800000000001</v>
      </c>
    </row>
    <row r="35" spans="1:8" x14ac:dyDescent="0.25">
      <c r="A35">
        <v>34</v>
      </c>
      <c r="B35" t="s">
        <v>40</v>
      </c>
      <c r="C35">
        <v>9</v>
      </c>
      <c r="D35">
        <v>6</v>
      </c>
      <c r="E35">
        <v>2017</v>
      </c>
      <c r="F35">
        <v>469.99</v>
      </c>
      <c r="G35" s="1" t="str">
        <f>_xlfn.XLOOKUP(D35,category!A:A,category!B:B,"not found",0)</f>
        <v>Mountain Bikes</v>
      </c>
      <c r="H35" s="1">
        <f>(order_items!D35*order_items!E35)-order_items!F35</f>
        <v>1199.93</v>
      </c>
    </row>
    <row r="36" spans="1:8" x14ac:dyDescent="0.25">
      <c r="A36">
        <v>35</v>
      </c>
      <c r="B36" t="s">
        <v>41</v>
      </c>
      <c r="C36">
        <v>7</v>
      </c>
      <c r="D36">
        <v>6</v>
      </c>
      <c r="E36">
        <v>2017</v>
      </c>
      <c r="F36">
        <v>832.99</v>
      </c>
      <c r="G36" s="1" t="str">
        <f>_xlfn.XLOOKUP(D36,category!A:A,category!B:B,"not found",0)</f>
        <v>Mountain Bikes</v>
      </c>
      <c r="H36" s="1">
        <f>(order_items!D36*order_items!E36)-order_items!F36</f>
        <v>469.92</v>
      </c>
    </row>
    <row r="37" spans="1:8" x14ac:dyDescent="0.25">
      <c r="A37">
        <v>36</v>
      </c>
      <c r="B37" t="s">
        <v>42</v>
      </c>
      <c r="C37">
        <v>8</v>
      </c>
      <c r="D37">
        <v>6</v>
      </c>
      <c r="E37">
        <v>2017</v>
      </c>
      <c r="F37">
        <v>832.99</v>
      </c>
      <c r="G37" s="1" t="str">
        <f>_xlfn.XLOOKUP(D37,category!A:A,category!B:B,"not found",0)</f>
        <v>Mountain Bikes</v>
      </c>
      <c r="H37" s="1">
        <f>(order_items!D37*order_items!E37)-order_items!F37</f>
        <v>1099.9100000000001</v>
      </c>
    </row>
    <row r="38" spans="1:8" x14ac:dyDescent="0.25">
      <c r="A38">
        <v>37</v>
      </c>
      <c r="B38" t="s">
        <v>43</v>
      </c>
      <c r="C38">
        <v>2</v>
      </c>
      <c r="D38">
        <v>6</v>
      </c>
      <c r="E38">
        <v>2017</v>
      </c>
      <c r="F38">
        <v>379.99</v>
      </c>
      <c r="G38" s="1" t="str">
        <f>_xlfn.XLOOKUP(D38,category!A:A,category!B:B,"not found",0)</f>
        <v>Mountain Bikes</v>
      </c>
      <c r="H38" s="1">
        <f>(order_items!D38*order_items!E38)-order_items!F38</f>
        <v>1799.92</v>
      </c>
    </row>
    <row r="39" spans="1:8" x14ac:dyDescent="0.25">
      <c r="A39">
        <v>38</v>
      </c>
      <c r="B39" t="s">
        <v>44</v>
      </c>
      <c r="C39">
        <v>2</v>
      </c>
      <c r="D39">
        <v>6</v>
      </c>
      <c r="E39">
        <v>2017</v>
      </c>
      <c r="F39">
        <v>549.99</v>
      </c>
      <c r="G39" s="1" t="str">
        <f>_xlfn.XLOOKUP(D39,category!A:A,category!B:B,"not found",0)</f>
        <v>Mountain Bikes</v>
      </c>
      <c r="H39" s="1">
        <f>(order_items!D39*order_items!E39)-order_items!F39</f>
        <v>897.95</v>
      </c>
    </row>
    <row r="40" spans="1:8" x14ac:dyDescent="0.25">
      <c r="A40">
        <v>39</v>
      </c>
      <c r="B40" t="s">
        <v>45</v>
      </c>
      <c r="C40">
        <v>9</v>
      </c>
      <c r="D40">
        <v>6</v>
      </c>
      <c r="E40">
        <v>2017</v>
      </c>
      <c r="F40">
        <v>1499.99</v>
      </c>
      <c r="G40" s="1" t="str">
        <f>_xlfn.XLOOKUP(D40,category!A:A,category!B:B,"not found",0)</f>
        <v>Mountain Bikes</v>
      </c>
      <c r="H40" s="1">
        <f>(order_items!D40*order_items!E40)-order_items!F40</f>
        <v>599.78</v>
      </c>
    </row>
    <row r="41" spans="1:8" x14ac:dyDescent="0.25">
      <c r="A41">
        <v>40</v>
      </c>
      <c r="B41" t="s">
        <v>46</v>
      </c>
      <c r="C41">
        <v>9</v>
      </c>
      <c r="D41">
        <v>6</v>
      </c>
      <c r="E41">
        <v>2017</v>
      </c>
      <c r="F41">
        <v>4999.99</v>
      </c>
      <c r="G41" s="1" t="str">
        <f>_xlfn.XLOOKUP(D41,category!A:A,category!B:B,"not found",0)</f>
        <v>Mountain Bikes</v>
      </c>
      <c r="H41" s="1">
        <f>(order_items!D41*order_items!E41)-order_items!F41</f>
        <v>1799.79</v>
      </c>
    </row>
    <row r="42" spans="1:8" x14ac:dyDescent="0.25">
      <c r="A42">
        <v>41</v>
      </c>
      <c r="B42" t="s">
        <v>47</v>
      </c>
      <c r="C42">
        <v>2</v>
      </c>
      <c r="D42">
        <v>6</v>
      </c>
      <c r="E42">
        <v>2017</v>
      </c>
      <c r="F42">
        <v>1469.99</v>
      </c>
      <c r="G42" s="1" t="str">
        <f>_xlfn.XLOOKUP(D42,category!A:A,category!B:B,"not found",0)</f>
        <v>Mountain Bikes</v>
      </c>
      <c r="H42" s="1">
        <f>(order_items!D42*order_items!E42)-order_items!F42</f>
        <v>269.94</v>
      </c>
    </row>
    <row r="43" spans="1:8" x14ac:dyDescent="0.25">
      <c r="A43">
        <v>42</v>
      </c>
      <c r="B43" t="s">
        <v>48</v>
      </c>
      <c r="C43">
        <v>9</v>
      </c>
      <c r="D43">
        <v>6</v>
      </c>
      <c r="E43">
        <v>2017</v>
      </c>
      <c r="F43">
        <v>2299.9899999999998</v>
      </c>
      <c r="G43" s="1" t="str">
        <f>_xlfn.XLOOKUP(D43,category!A:A,category!B:B,"not found",0)</f>
        <v>Mountain Bikes</v>
      </c>
      <c r="H43" s="1">
        <f>(order_items!D43*order_items!E43)-order_items!F43</f>
        <v>539.91</v>
      </c>
    </row>
    <row r="44" spans="1:8" x14ac:dyDescent="0.25">
      <c r="A44">
        <v>43</v>
      </c>
      <c r="B44" t="s">
        <v>49</v>
      </c>
      <c r="C44">
        <v>9</v>
      </c>
      <c r="D44">
        <v>6</v>
      </c>
      <c r="E44">
        <v>2017</v>
      </c>
      <c r="F44">
        <v>5299.99</v>
      </c>
      <c r="G44" s="1" t="str">
        <f>_xlfn.XLOOKUP(D44,category!A:A,category!B:B,"not found",0)</f>
        <v>Mountain Bikes</v>
      </c>
      <c r="H44" s="1">
        <f>(order_items!D44*order_items!E44)-order_items!F44</f>
        <v>269.92</v>
      </c>
    </row>
    <row r="45" spans="1:8" x14ac:dyDescent="0.25">
      <c r="A45">
        <v>44</v>
      </c>
      <c r="B45" t="s">
        <v>50</v>
      </c>
      <c r="C45">
        <v>2</v>
      </c>
      <c r="D45">
        <v>6</v>
      </c>
      <c r="E45">
        <v>2017</v>
      </c>
      <c r="F45">
        <v>539.99</v>
      </c>
      <c r="G45" s="1" t="str">
        <f>_xlfn.XLOOKUP(D45,category!A:A,category!B:B,"not found",0)</f>
        <v>Mountain Bikes</v>
      </c>
      <c r="H45" s="1">
        <f>(order_items!D45*order_items!E45)-order_items!F45</f>
        <v>1799.92</v>
      </c>
    </row>
    <row r="46" spans="1:8" x14ac:dyDescent="0.25">
      <c r="A46">
        <v>45</v>
      </c>
      <c r="B46" t="s">
        <v>51</v>
      </c>
      <c r="C46">
        <v>2</v>
      </c>
      <c r="D46">
        <v>6</v>
      </c>
      <c r="E46">
        <v>2017</v>
      </c>
      <c r="F46">
        <v>869.99</v>
      </c>
      <c r="G46" s="1" t="str">
        <f>_xlfn.XLOOKUP(D46,category!A:A,category!B:B,"not found",0)</f>
        <v>Mountain Bikes</v>
      </c>
      <c r="H46" s="1">
        <f>(order_items!D46*order_items!E46)-order_items!F46</f>
        <v>299.89</v>
      </c>
    </row>
    <row r="47" spans="1:8" x14ac:dyDescent="0.25">
      <c r="A47">
        <v>46</v>
      </c>
      <c r="B47" t="s">
        <v>52</v>
      </c>
      <c r="C47">
        <v>2</v>
      </c>
      <c r="D47">
        <v>6</v>
      </c>
      <c r="E47">
        <v>2017</v>
      </c>
      <c r="F47">
        <v>1409.99</v>
      </c>
      <c r="G47" s="1" t="str">
        <f>_xlfn.XLOOKUP(D47,category!A:A,category!B:B,"not found",0)</f>
        <v>Mountain Bikes</v>
      </c>
      <c r="H47" s="1">
        <f>(order_items!D47*order_items!E47)-order_items!F47</f>
        <v>1320.89</v>
      </c>
    </row>
    <row r="48" spans="1:8" x14ac:dyDescent="0.25">
      <c r="A48">
        <v>47</v>
      </c>
      <c r="B48" t="s">
        <v>53</v>
      </c>
      <c r="C48">
        <v>9</v>
      </c>
      <c r="D48">
        <v>6</v>
      </c>
      <c r="E48">
        <v>2017</v>
      </c>
      <c r="F48">
        <v>5299.99</v>
      </c>
      <c r="G48" s="1" t="str">
        <f>_xlfn.XLOOKUP(D48,category!A:A,category!B:B,"not found",0)</f>
        <v>Mountain Bikes</v>
      </c>
      <c r="H48" s="1">
        <f>(order_items!D48*order_items!E48)-order_items!F48</f>
        <v>1199.78</v>
      </c>
    </row>
    <row r="49" spans="1:8" x14ac:dyDescent="0.25">
      <c r="A49">
        <v>48</v>
      </c>
      <c r="B49" t="s">
        <v>54</v>
      </c>
      <c r="C49">
        <v>9</v>
      </c>
      <c r="D49">
        <v>7</v>
      </c>
      <c r="E49">
        <v>2017</v>
      </c>
      <c r="F49">
        <v>1499.99</v>
      </c>
      <c r="G49" s="1" t="str">
        <f>_xlfn.XLOOKUP(D49,category!A:A,category!B:B,"not found",0)</f>
        <v>Road Bikes</v>
      </c>
      <c r="H49" s="1">
        <f>(order_items!D49*order_items!E49)-order_items!F49</f>
        <v>1499.78</v>
      </c>
    </row>
    <row r="50" spans="1:8" x14ac:dyDescent="0.25">
      <c r="A50">
        <v>49</v>
      </c>
      <c r="B50" t="s">
        <v>55</v>
      </c>
      <c r="C50">
        <v>9</v>
      </c>
      <c r="D50">
        <v>7</v>
      </c>
      <c r="E50">
        <v>2017</v>
      </c>
      <c r="F50">
        <v>3499.99</v>
      </c>
      <c r="G50" s="1" t="str">
        <f>_xlfn.XLOOKUP(D50,category!A:A,category!B:B,"not found",0)</f>
        <v>Road Bikes</v>
      </c>
      <c r="H50" s="1">
        <f>(order_items!D50*order_items!E50)-order_items!F50</f>
        <v>269.94</v>
      </c>
    </row>
    <row r="51" spans="1:8" x14ac:dyDescent="0.25">
      <c r="A51">
        <v>50</v>
      </c>
      <c r="B51" t="s">
        <v>56</v>
      </c>
      <c r="C51">
        <v>9</v>
      </c>
      <c r="D51">
        <v>7</v>
      </c>
      <c r="E51">
        <v>2017</v>
      </c>
      <c r="F51">
        <v>5999.99</v>
      </c>
      <c r="G51" s="1" t="str">
        <f>_xlfn.XLOOKUP(D51,category!A:A,category!B:B,"not found",0)</f>
        <v>Road Bikes</v>
      </c>
      <c r="H51" s="1">
        <f>(order_items!D51*order_items!E51)-order_items!F51</f>
        <v>3999.89</v>
      </c>
    </row>
    <row r="52" spans="1:8" x14ac:dyDescent="0.25">
      <c r="A52">
        <v>51</v>
      </c>
      <c r="B52" t="s">
        <v>57</v>
      </c>
      <c r="C52">
        <v>9</v>
      </c>
      <c r="D52">
        <v>7</v>
      </c>
      <c r="E52">
        <v>2017</v>
      </c>
      <c r="F52">
        <v>6499.99</v>
      </c>
      <c r="G52" s="1" t="str">
        <f>_xlfn.XLOOKUP(D52,category!A:A,category!B:B,"not found",0)</f>
        <v>Road Bikes</v>
      </c>
      <c r="H52" s="1">
        <f>(order_items!D52*order_items!E52)-order_items!F52</f>
        <v>999.93000000000006</v>
      </c>
    </row>
    <row r="53" spans="1:8" x14ac:dyDescent="0.25">
      <c r="A53">
        <v>52</v>
      </c>
      <c r="B53" t="s">
        <v>58</v>
      </c>
      <c r="C53">
        <v>8</v>
      </c>
      <c r="D53">
        <v>7</v>
      </c>
      <c r="E53">
        <v>2017</v>
      </c>
      <c r="F53">
        <v>875.99</v>
      </c>
      <c r="G53" s="1" t="str">
        <f>_xlfn.XLOOKUP(D53,category!A:A,category!B:B,"not found",0)</f>
        <v>Road Bikes</v>
      </c>
      <c r="H53" s="1">
        <f>(order_items!D53*order_items!E53)-order_items!F53</f>
        <v>5999.8799999999992</v>
      </c>
    </row>
    <row r="54" spans="1:8" x14ac:dyDescent="0.25">
      <c r="A54">
        <v>53</v>
      </c>
      <c r="B54" t="s">
        <v>59</v>
      </c>
      <c r="C54">
        <v>8</v>
      </c>
      <c r="D54">
        <v>7</v>
      </c>
      <c r="E54">
        <v>2017</v>
      </c>
      <c r="F54">
        <v>749.99</v>
      </c>
      <c r="G54" s="1" t="str">
        <f>_xlfn.XLOOKUP(D54,category!A:A,category!B:B,"not found",0)</f>
        <v>Road Bikes</v>
      </c>
      <c r="H54" s="1">
        <f>(order_items!D54*order_items!E54)-order_items!F54</f>
        <v>1548.93</v>
      </c>
    </row>
    <row r="55" spans="1:8" x14ac:dyDescent="0.25">
      <c r="A55">
        <v>54</v>
      </c>
      <c r="B55" t="s">
        <v>60</v>
      </c>
      <c r="C55">
        <v>9</v>
      </c>
      <c r="D55">
        <v>7</v>
      </c>
      <c r="E55">
        <v>2017</v>
      </c>
      <c r="F55">
        <v>3199.99</v>
      </c>
      <c r="G55" s="1" t="str">
        <f>_xlfn.XLOOKUP(D55,category!A:A,category!B:B,"not found",0)</f>
        <v>Road Bikes</v>
      </c>
      <c r="H55" s="1">
        <f>(order_items!D55*order_items!E55)-order_items!F55</f>
        <v>5999.78</v>
      </c>
    </row>
    <row r="56" spans="1:8" x14ac:dyDescent="0.25">
      <c r="A56">
        <v>55</v>
      </c>
      <c r="B56" t="s">
        <v>61</v>
      </c>
      <c r="C56">
        <v>9</v>
      </c>
      <c r="D56">
        <v>7</v>
      </c>
      <c r="E56">
        <v>2017</v>
      </c>
      <c r="F56">
        <v>2699.99</v>
      </c>
      <c r="G56" s="1" t="str">
        <f>_xlfn.XLOOKUP(D56,category!A:A,category!B:B,"not found",0)</f>
        <v>Road Bikes</v>
      </c>
      <c r="H56" s="1">
        <f>(order_items!D56*order_items!E56)-order_items!F56</f>
        <v>2999.9199999999996</v>
      </c>
    </row>
    <row r="57" spans="1:8" x14ac:dyDescent="0.25">
      <c r="A57">
        <v>56</v>
      </c>
      <c r="B57" t="s">
        <v>62</v>
      </c>
      <c r="C57">
        <v>9</v>
      </c>
      <c r="D57">
        <v>7</v>
      </c>
      <c r="E57">
        <v>2017</v>
      </c>
      <c r="F57">
        <v>5499.99</v>
      </c>
      <c r="G57" s="1" t="str">
        <f>_xlfn.XLOOKUP(D57,category!A:A,category!B:B,"not found",0)</f>
        <v>Road Bikes</v>
      </c>
      <c r="H57" s="1">
        <f>(order_items!D57*order_items!E57)-order_items!F57</f>
        <v>3097.93</v>
      </c>
    </row>
    <row r="58" spans="1:8" x14ac:dyDescent="0.25">
      <c r="A58">
        <v>57</v>
      </c>
      <c r="B58" t="s">
        <v>63</v>
      </c>
      <c r="C58">
        <v>9</v>
      </c>
      <c r="D58">
        <v>7</v>
      </c>
      <c r="E58">
        <v>2017</v>
      </c>
      <c r="F58">
        <v>1999.99</v>
      </c>
      <c r="G58" s="1" t="str">
        <f>_xlfn.XLOOKUP(D58,category!A:A,category!B:B,"not found",0)</f>
        <v>Road Bikes</v>
      </c>
      <c r="H58" s="1">
        <f>(order_items!D58*order_items!E58)-order_items!F58</f>
        <v>269.94</v>
      </c>
    </row>
    <row r="59" spans="1:8" x14ac:dyDescent="0.25">
      <c r="A59">
        <v>58</v>
      </c>
      <c r="B59" t="s">
        <v>64</v>
      </c>
      <c r="C59">
        <v>9</v>
      </c>
      <c r="D59">
        <v>7</v>
      </c>
      <c r="E59">
        <v>2017</v>
      </c>
      <c r="F59">
        <v>4999.99</v>
      </c>
      <c r="G59" s="1" t="str">
        <f>_xlfn.XLOOKUP(D59,category!A:A,category!B:B,"not found",0)</f>
        <v>Road Bikes</v>
      </c>
      <c r="H59" s="1">
        <f>(order_items!D59*order_items!E59)-order_items!F59</f>
        <v>428.9</v>
      </c>
    </row>
    <row r="60" spans="1:8" x14ac:dyDescent="0.25">
      <c r="A60">
        <v>59</v>
      </c>
      <c r="B60" t="s">
        <v>65</v>
      </c>
      <c r="C60">
        <v>9</v>
      </c>
      <c r="D60">
        <v>7</v>
      </c>
      <c r="E60">
        <v>2017</v>
      </c>
      <c r="F60">
        <v>2599.9899999999998</v>
      </c>
      <c r="G60" s="1" t="str">
        <f>_xlfn.XLOOKUP(D60,category!A:A,category!B:B,"not found",0)</f>
        <v>Road Bikes</v>
      </c>
      <c r="H60" s="1">
        <f>(order_items!D60*order_items!E60)-order_items!F60</f>
        <v>1548.93</v>
      </c>
    </row>
    <row r="61" spans="1:8" x14ac:dyDescent="0.25">
      <c r="A61">
        <v>60</v>
      </c>
      <c r="B61" t="s">
        <v>66</v>
      </c>
      <c r="C61">
        <v>7</v>
      </c>
      <c r="D61">
        <v>5</v>
      </c>
      <c r="E61">
        <v>2017</v>
      </c>
      <c r="F61">
        <v>1559.99</v>
      </c>
      <c r="G61" s="1" t="str">
        <f>_xlfn.XLOOKUP(D61,category!A:A,category!B:B,"not found",0)</f>
        <v>Electric Bikes</v>
      </c>
      <c r="H61" s="1">
        <f>(order_items!D61*order_items!E61)-order_items!F61</f>
        <v>1059.78</v>
      </c>
    </row>
    <row r="62" spans="1:8" x14ac:dyDescent="0.25">
      <c r="A62">
        <v>61</v>
      </c>
      <c r="B62" t="s">
        <v>67</v>
      </c>
      <c r="C62">
        <v>9</v>
      </c>
      <c r="D62">
        <v>5</v>
      </c>
      <c r="E62">
        <v>2017</v>
      </c>
      <c r="F62">
        <v>4999.99</v>
      </c>
      <c r="G62" s="1" t="str">
        <f>_xlfn.XLOOKUP(D62,category!A:A,category!B:B,"not found",0)</f>
        <v>Electric Bikes</v>
      </c>
      <c r="H62" s="1">
        <f>(order_items!D62*order_items!E62)-order_items!F62</f>
        <v>269.94</v>
      </c>
    </row>
    <row r="63" spans="1:8" x14ac:dyDescent="0.25">
      <c r="A63">
        <v>62</v>
      </c>
      <c r="B63" t="s">
        <v>68</v>
      </c>
      <c r="C63">
        <v>9</v>
      </c>
      <c r="D63">
        <v>4</v>
      </c>
      <c r="E63">
        <v>2017</v>
      </c>
      <c r="F63">
        <v>3499.99</v>
      </c>
      <c r="G63" s="1" t="str">
        <f>_xlfn.XLOOKUP(D63,category!A:A,category!B:B,"not found",0)</f>
        <v>Cyclocross Bicycles</v>
      </c>
      <c r="H63" s="1">
        <f>(order_items!D63*order_items!E63)-order_items!F63</f>
        <v>5799.9299999999994</v>
      </c>
    </row>
    <row r="64" spans="1:8" x14ac:dyDescent="0.25">
      <c r="A64">
        <v>63</v>
      </c>
      <c r="B64" t="s">
        <v>69</v>
      </c>
      <c r="C64">
        <v>9</v>
      </c>
      <c r="D64">
        <v>4</v>
      </c>
      <c r="E64">
        <v>2017</v>
      </c>
      <c r="F64">
        <v>3499.99</v>
      </c>
      <c r="G64" s="1" t="str">
        <f>_xlfn.XLOOKUP(D64,category!A:A,category!B:B,"not found",0)</f>
        <v>Cyclocross Bicycles</v>
      </c>
      <c r="H64" s="1">
        <f>(order_items!D64*order_items!E64)-order_items!F64</f>
        <v>599.88</v>
      </c>
    </row>
    <row r="65" spans="1:8" x14ac:dyDescent="0.25">
      <c r="A65">
        <v>64</v>
      </c>
      <c r="B65" t="s">
        <v>70</v>
      </c>
      <c r="C65">
        <v>1</v>
      </c>
      <c r="D65">
        <v>3</v>
      </c>
      <c r="E65">
        <v>2017</v>
      </c>
      <c r="F65">
        <v>489.99</v>
      </c>
      <c r="G65" s="1" t="str">
        <f>_xlfn.XLOOKUP(D65,category!A:A,category!B:B,"not found",0)</f>
        <v>Cruisers Bicycles</v>
      </c>
      <c r="H65" s="1">
        <f>(order_items!D65*order_items!E65)-order_items!F65</f>
        <v>269.79000000000002</v>
      </c>
    </row>
    <row r="66" spans="1:8" x14ac:dyDescent="0.25">
      <c r="A66">
        <v>65</v>
      </c>
      <c r="B66" t="s">
        <v>71</v>
      </c>
      <c r="C66">
        <v>7</v>
      </c>
      <c r="D66">
        <v>3</v>
      </c>
      <c r="E66">
        <v>2017</v>
      </c>
      <c r="F66">
        <v>346.99</v>
      </c>
      <c r="G66" s="1" t="str">
        <f>_xlfn.XLOOKUP(D66,category!A:A,category!B:B,"not found",0)</f>
        <v>Cruisers Bicycles</v>
      </c>
      <c r="H66" s="1">
        <f>(order_items!D66*order_items!E66)-order_items!F66</f>
        <v>1999.88</v>
      </c>
    </row>
    <row r="67" spans="1:8" x14ac:dyDescent="0.25">
      <c r="A67">
        <v>66</v>
      </c>
      <c r="B67" t="s">
        <v>72</v>
      </c>
      <c r="C67">
        <v>7</v>
      </c>
      <c r="D67">
        <v>3</v>
      </c>
      <c r="E67">
        <v>2017</v>
      </c>
      <c r="F67">
        <v>250.99</v>
      </c>
      <c r="G67" s="1" t="str">
        <f>_xlfn.XLOOKUP(D67,category!A:A,category!B:B,"not found",0)</f>
        <v>Cruisers Bicycles</v>
      </c>
      <c r="H67" s="1">
        <f>(order_items!D67*order_items!E67)-order_items!F67</f>
        <v>897.93</v>
      </c>
    </row>
    <row r="68" spans="1:8" x14ac:dyDescent="0.25">
      <c r="A68">
        <v>67</v>
      </c>
      <c r="B68" t="s">
        <v>73</v>
      </c>
      <c r="C68">
        <v>7</v>
      </c>
      <c r="D68">
        <v>3</v>
      </c>
      <c r="E68">
        <v>2017</v>
      </c>
      <c r="F68">
        <v>250.99</v>
      </c>
      <c r="G68" s="1" t="str">
        <f>_xlfn.XLOOKUP(D68,category!A:A,category!B:B,"not found",0)</f>
        <v>Cruisers Bicycles</v>
      </c>
      <c r="H68" s="1">
        <f>(order_items!D68*order_items!E68)-order_items!F68</f>
        <v>599.78</v>
      </c>
    </row>
    <row r="69" spans="1:8" x14ac:dyDescent="0.25">
      <c r="A69">
        <v>68</v>
      </c>
      <c r="B69" t="s">
        <v>74</v>
      </c>
      <c r="C69">
        <v>7</v>
      </c>
      <c r="D69">
        <v>3</v>
      </c>
      <c r="E69">
        <v>2017</v>
      </c>
      <c r="F69">
        <v>449.99</v>
      </c>
      <c r="G69" s="1" t="str">
        <f>_xlfn.XLOOKUP(D69,category!A:A,category!B:B,"not found",0)</f>
        <v>Cruisers Bicycles</v>
      </c>
      <c r="H69" s="1">
        <f>(order_items!D69*order_items!E69)-order_items!F69</f>
        <v>3097.8</v>
      </c>
    </row>
    <row r="70" spans="1:8" x14ac:dyDescent="0.25">
      <c r="A70">
        <v>69</v>
      </c>
      <c r="B70" t="s">
        <v>75</v>
      </c>
      <c r="C70">
        <v>7</v>
      </c>
      <c r="D70">
        <v>3</v>
      </c>
      <c r="E70">
        <v>2017</v>
      </c>
      <c r="F70">
        <v>416.99</v>
      </c>
      <c r="G70" s="1" t="str">
        <f>_xlfn.XLOOKUP(D70,category!A:A,category!B:B,"not found",0)</f>
        <v>Cruisers Bicycles</v>
      </c>
      <c r="H70" s="1">
        <f>(order_items!D70*order_items!E70)-order_items!F70</f>
        <v>269.79000000000002</v>
      </c>
    </row>
    <row r="71" spans="1:8" x14ac:dyDescent="0.25">
      <c r="A71">
        <v>70</v>
      </c>
      <c r="B71" t="s">
        <v>76</v>
      </c>
      <c r="C71">
        <v>1</v>
      </c>
      <c r="D71">
        <v>3</v>
      </c>
      <c r="E71">
        <v>2017</v>
      </c>
      <c r="F71">
        <v>659.99</v>
      </c>
      <c r="G71" s="1" t="str">
        <f>_xlfn.XLOOKUP(D71,category!A:A,category!B:B,"not found",0)</f>
        <v>Cruisers Bicycles</v>
      </c>
      <c r="H71" s="1">
        <f>(order_items!D71*order_items!E71)-order_items!F71</f>
        <v>269.79000000000002</v>
      </c>
    </row>
    <row r="72" spans="1:8" x14ac:dyDescent="0.25">
      <c r="A72">
        <v>71</v>
      </c>
      <c r="B72" t="s">
        <v>77</v>
      </c>
      <c r="C72">
        <v>7</v>
      </c>
      <c r="D72">
        <v>3</v>
      </c>
      <c r="E72">
        <v>2017</v>
      </c>
      <c r="F72">
        <v>416.99</v>
      </c>
      <c r="G72" s="1" t="str">
        <f>_xlfn.XLOOKUP(D72,category!A:A,category!B:B,"not found",0)</f>
        <v>Cruisers Bicycles</v>
      </c>
      <c r="H72" s="1">
        <f>(order_items!D72*order_items!E72)-order_items!F72</f>
        <v>269.89</v>
      </c>
    </row>
    <row r="73" spans="1:8" x14ac:dyDescent="0.25">
      <c r="A73">
        <v>72</v>
      </c>
      <c r="B73" t="s">
        <v>78</v>
      </c>
      <c r="C73">
        <v>7</v>
      </c>
      <c r="D73">
        <v>3</v>
      </c>
      <c r="E73">
        <v>2017</v>
      </c>
      <c r="F73">
        <v>619.99</v>
      </c>
      <c r="G73" s="1" t="str">
        <f>_xlfn.XLOOKUP(D73,category!A:A,category!B:B,"not found",0)</f>
        <v>Cruisers Bicycles</v>
      </c>
      <c r="H73" s="1">
        <f>(order_items!D73*order_items!E73)-order_items!F73</f>
        <v>3999.9399999999996</v>
      </c>
    </row>
    <row r="74" spans="1:8" x14ac:dyDescent="0.25">
      <c r="A74">
        <v>73</v>
      </c>
      <c r="B74" t="s">
        <v>79</v>
      </c>
      <c r="C74">
        <v>7</v>
      </c>
      <c r="D74">
        <v>3</v>
      </c>
      <c r="E74">
        <v>2017</v>
      </c>
      <c r="F74">
        <v>749.99</v>
      </c>
      <c r="G74" s="1" t="str">
        <f>_xlfn.XLOOKUP(D74,category!A:A,category!B:B,"not found",0)</f>
        <v>Cruisers Bicycles</v>
      </c>
      <c r="H74" s="1">
        <f>(order_items!D74*order_items!E74)-order_items!F74</f>
        <v>749.79</v>
      </c>
    </row>
    <row r="75" spans="1:8" x14ac:dyDescent="0.25">
      <c r="A75">
        <v>74</v>
      </c>
      <c r="B75" t="s">
        <v>80</v>
      </c>
      <c r="C75">
        <v>1</v>
      </c>
      <c r="D75">
        <v>3</v>
      </c>
      <c r="E75">
        <v>2017</v>
      </c>
      <c r="F75">
        <v>439.99</v>
      </c>
      <c r="G75" s="1" t="str">
        <f>_xlfn.XLOOKUP(D75,category!A:A,category!B:B,"not found",0)</f>
        <v>Cruisers Bicycles</v>
      </c>
      <c r="H75" s="1">
        <f>(order_items!D75*order_items!E75)-order_items!F75</f>
        <v>549.79</v>
      </c>
    </row>
    <row r="76" spans="1:8" x14ac:dyDescent="0.25">
      <c r="A76">
        <v>75</v>
      </c>
      <c r="B76" t="s">
        <v>81</v>
      </c>
      <c r="C76">
        <v>1</v>
      </c>
      <c r="D76">
        <v>3</v>
      </c>
      <c r="E76">
        <v>2017</v>
      </c>
      <c r="F76">
        <v>599.99</v>
      </c>
      <c r="G76" s="1" t="str">
        <f>_xlfn.XLOOKUP(D76,category!A:A,category!B:B,"not found",0)</f>
        <v>Cruisers Bicycles</v>
      </c>
      <c r="H76" s="1">
        <f>(order_items!D76*order_items!E76)-order_items!F76</f>
        <v>539.91</v>
      </c>
    </row>
    <row r="77" spans="1:8" x14ac:dyDescent="0.25">
      <c r="A77">
        <v>76</v>
      </c>
      <c r="B77" t="s">
        <v>82</v>
      </c>
      <c r="C77">
        <v>1</v>
      </c>
      <c r="D77">
        <v>3</v>
      </c>
      <c r="E77">
        <v>2017</v>
      </c>
      <c r="F77">
        <v>299.99</v>
      </c>
      <c r="G77" s="1" t="str">
        <f>_xlfn.XLOOKUP(D77,category!A:A,category!B:B,"not found",0)</f>
        <v>Cruisers Bicycles</v>
      </c>
      <c r="H77" s="1">
        <f>(order_items!D77*order_items!E77)-order_items!F77</f>
        <v>1320.79</v>
      </c>
    </row>
    <row r="78" spans="1:8" x14ac:dyDescent="0.25">
      <c r="A78">
        <v>77</v>
      </c>
      <c r="B78" t="s">
        <v>83</v>
      </c>
      <c r="C78">
        <v>1</v>
      </c>
      <c r="D78">
        <v>3</v>
      </c>
      <c r="E78">
        <v>2017</v>
      </c>
      <c r="F78">
        <v>799.99</v>
      </c>
      <c r="G78" s="1" t="str">
        <f>_xlfn.XLOOKUP(D78,category!A:A,category!B:B,"not found",0)</f>
        <v>Cruisers Bicycles</v>
      </c>
      <c r="H78" s="1">
        <f>(order_items!D78*order_items!E78)-order_items!F78</f>
        <v>448.8</v>
      </c>
    </row>
    <row r="79" spans="1:8" x14ac:dyDescent="0.25">
      <c r="A79">
        <v>78</v>
      </c>
      <c r="B79" t="s">
        <v>84</v>
      </c>
      <c r="C79">
        <v>7</v>
      </c>
      <c r="D79">
        <v>3</v>
      </c>
      <c r="E79">
        <v>2017</v>
      </c>
      <c r="F79">
        <v>647.99</v>
      </c>
      <c r="G79" s="1" t="str">
        <f>_xlfn.XLOOKUP(D79,category!A:A,category!B:B,"not found",0)</f>
        <v>Cruisers Bicycles</v>
      </c>
      <c r="H79" s="1">
        <f>(order_items!D79*order_items!E79)-order_items!F79</f>
        <v>1199.9100000000001</v>
      </c>
    </row>
    <row r="80" spans="1:8" x14ac:dyDescent="0.25">
      <c r="A80">
        <v>79</v>
      </c>
      <c r="B80" t="s">
        <v>85</v>
      </c>
      <c r="C80">
        <v>7</v>
      </c>
      <c r="D80">
        <v>3</v>
      </c>
      <c r="E80">
        <v>2017</v>
      </c>
      <c r="F80">
        <v>402.99</v>
      </c>
      <c r="G80" s="1" t="str">
        <f>_xlfn.XLOOKUP(D80,category!A:A,category!B:B,"not found",0)</f>
        <v>Cruisers Bicycles</v>
      </c>
      <c r="H80" s="1">
        <f>(order_items!D80*order_items!E80)-order_items!F80</f>
        <v>1799.92</v>
      </c>
    </row>
    <row r="81" spans="1:8" x14ac:dyDescent="0.25">
      <c r="A81">
        <v>80</v>
      </c>
      <c r="B81" t="s">
        <v>86</v>
      </c>
      <c r="C81">
        <v>7</v>
      </c>
      <c r="D81">
        <v>3</v>
      </c>
      <c r="E81">
        <v>2017</v>
      </c>
      <c r="F81">
        <v>761.99</v>
      </c>
      <c r="G81" s="1" t="str">
        <f>_xlfn.XLOOKUP(D81,category!A:A,category!B:B,"not found",0)</f>
        <v>Cruisers Bicycles</v>
      </c>
      <c r="H81" s="1">
        <f>(order_items!D81*order_items!E81)-order_items!F81</f>
        <v>1320.94</v>
      </c>
    </row>
    <row r="82" spans="1:8" x14ac:dyDescent="0.25">
      <c r="A82">
        <v>81</v>
      </c>
      <c r="B82" t="s">
        <v>87</v>
      </c>
      <c r="C82">
        <v>1</v>
      </c>
      <c r="D82">
        <v>3</v>
      </c>
      <c r="E82">
        <v>2017</v>
      </c>
      <c r="F82">
        <v>1099.99</v>
      </c>
      <c r="G82" s="1" t="str">
        <f>_xlfn.XLOOKUP(D82,category!A:A,category!B:B,"not found",0)</f>
        <v>Cruisers Bicycles</v>
      </c>
      <c r="H82" s="1">
        <f>(order_items!D82*order_items!E82)-order_items!F82</f>
        <v>7999.78</v>
      </c>
    </row>
    <row r="83" spans="1:8" x14ac:dyDescent="0.25">
      <c r="A83">
        <v>82</v>
      </c>
      <c r="B83" t="s">
        <v>88</v>
      </c>
      <c r="C83">
        <v>1</v>
      </c>
      <c r="D83">
        <v>3</v>
      </c>
      <c r="E83">
        <v>2017</v>
      </c>
      <c r="F83">
        <v>659.99</v>
      </c>
      <c r="G83" s="1" t="str">
        <f>_xlfn.XLOOKUP(D83,category!A:A,category!B:B,"not found",0)</f>
        <v>Cruisers Bicycles</v>
      </c>
      <c r="H83" s="1">
        <f>(order_items!D83*order_items!E83)-order_items!F83</f>
        <v>539.88</v>
      </c>
    </row>
    <row r="84" spans="1:8" x14ac:dyDescent="0.25">
      <c r="A84">
        <v>83</v>
      </c>
      <c r="B84" t="s">
        <v>89</v>
      </c>
      <c r="C84">
        <v>9</v>
      </c>
      <c r="D84">
        <v>1</v>
      </c>
      <c r="E84">
        <v>2017</v>
      </c>
      <c r="F84">
        <v>149.99</v>
      </c>
      <c r="G84" s="1" t="str">
        <f>_xlfn.XLOOKUP(D84,category!A:A,category!B:B,"not found",0)</f>
        <v>Children Bicycles</v>
      </c>
      <c r="H84" s="1">
        <f>(order_items!D84*order_items!E84)-order_items!F84</f>
        <v>469.94</v>
      </c>
    </row>
    <row r="85" spans="1:8" x14ac:dyDescent="0.25">
      <c r="A85">
        <v>84</v>
      </c>
      <c r="B85" t="s">
        <v>90</v>
      </c>
      <c r="C85">
        <v>7</v>
      </c>
      <c r="D85">
        <v>1</v>
      </c>
      <c r="E85">
        <v>2017</v>
      </c>
      <c r="F85">
        <v>109.99</v>
      </c>
      <c r="G85" s="1" t="str">
        <f>_xlfn.XLOOKUP(D85,category!A:A,category!B:B,"not found",0)</f>
        <v>Children Bicycles</v>
      </c>
      <c r="H85" s="1">
        <f>(order_items!D85*order_items!E85)-order_items!F85</f>
        <v>1099.93</v>
      </c>
    </row>
    <row r="86" spans="1:8" x14ac:dyDescent="0.25">
      <c r="A86">
        <v>85</v>
      </c>
      <c r="B86" t="s">
        <v>91</v>
      </c>
      <c r="C86">
        <v>2</v>
      </c>
      <c r="D86">
        <v>1</v>
      </c>
      <c r="E86">
        <v>2017</v>
      </c>
      <c r="F86">
        <v>329.99</v>
      </c>
      <c r="G86" s="1" t="str">
        <f>_xlfn.XLOOKUP(D86,category!A:A,category!B:B,"not found",0)</f>
        <v>Children Bicycles</v>
      </c>
      <c r="H86" s="1">
        <f>(order_items!D86*order_items!E86)-order_items!F86</f>
        <v>469.79</v>
      </c>
    </row>
    <row r="87" spans="1:8" x14ac:dyDescent="0.25">
      <c r="A87">
        <v>86</v>
      </c>
      <c r="B87" t="s">
        <v>92</v>
      </c>
      <c r="C87">
        <v>9</v>
      </c>
      <c r="D87">
        <v>1</v>
      </c>
      <c r="E87">
        <v>2017</v>
      </c>
      <c r="F87">
        <v>149.99</v>
      </c>
      <c r="G87" s="1" t="str">
        <f>_xlfn.XLOOKUP(D87,category!A:A,category!B:B,"not found",0)</f>
        <v>Children Bicycles</v>
      </c>
      <c r="H87" s="1">
        <f>(order_items!D87*order_items!E87)-order_items!F87</f>
        <v>539.88</v>
      </c>
    </row>
    <row r="88" spans="1:8" x14ac:dyDescent="0.25">
      <c r="A88">
        <v>87</v>
      </c>
      <c r="B88" t="s">
        <v>93</v>
      </c>
      <c r="C88">
        <v>9</v>
      </c>
      <c r="D88">
        <v>1</v>
      </c>
      <c r="E88">
        <v>2017</v>
      </c>
      <c r="F88">
        <v>189.99</v>
      </c>
      <c r="G88" s="1" t="str">
        <f>_xlfn.XLOOKUP(D88,category!A:A,category!B:B,"not found",0)</f>
        <v>Children Bicycles</v>
      </c>
      <c r="H88" s="1">
        <f>(order_items!D88*order_items!E88)-order_items!F88</f>
        <v>1799.79</v>
      </c>
    </row>
    <row r="89" spans="1:8" x14ac:dyDescent="0.25">
      <c r="A89">
        <v>88</v>
      </c>
      <c r="B89" t="s">
        <v>94</v>
      </c>
      <c r="C89">
        <v>9</v>
      </c>
      <c r="D89">
        <v>1</v>
      </c>
      <c r="E89">
        <v>2017</v>
      </c>
      <c r="F89">
        <v>189.99</v>
      </c>
      <c r="G89" s="1" t="str">
        <f>_xlfn.XLOOKUP(D89,category!A:A,category!B:B,"not found",0)</f>
        <v>Children Bicycles</v>
      </c>
      <c r="H89" s="1">
        <f>(order_items!D89*order_items!E89)-order_items!F89</f>
        <v>539.93000000000006</v>
      </c>
    </row>
    <row r="90" spans="1:8" x14ac:dyDescent="0.25">
      <c r="A90">
        <v>89</v>
      </c>
      <c r="B90" t="s">
        <v>95</v>
      </c>
      <c r="C90">
        <v>9</v>
      </c>
      <c r="D90">
        <v>1</v>
      </c>
      <c r="E90">
        <v>2017</v>
      </c>
      <c r="F90">
        <v>209.99</v>
      </c>
      <c r="G90" s="1" t="str">
        <f>_xlfn.XLOOKUP(D90,category!A:A,category!B:B,"not found",0)</f>
        <v>Children Bicycles</v>
      </c>
      <c r="H90" s="1">
        <f>(order_items!D90*order_items!E90)-order_items!F90</f>
        <v>599.94000000000005</v>
      </c>
    </row>
    <row r="91" spans="1:8" x14ac:dyDescent="0.25">
      <c r="A91">
        <v>90</v>
      </c>
      <c r="B91" t="s">
        <v>96</v>
      </c>
      <c r="C91">
        <v>9</v>
      </c>
      <c r="D91">
        <v>1</v>
      </c>
      <c r="E91">
        <v>2017</v>
      </c>
      <c r="F91">
        <v>209.99</v>
      </c>
      <c r="G91" s="1" t="str">
        <f>_xlfn.XLOOKUP(D91,category!A:A,category!B:B,"not found",0)</f>
        <v>Children Bicycles</v>
      </c>
      <c r="H91" s="1">
        <f>(order_items!D91*order_items!E91)-order_items!F91</f>
        <v>428.93</v>
      </c>
    </row>
    <row r="92" spans="1:8" x14ac:dyDescent="0.25">
      <c r="A92">
        <v>91</v>
      </c>
      <c r="B92" t="s">
        <v>97</v>
      </c>
      <c r="C92">
        <v>9</v>
      </c>
      <c r="D92">
        <v>1</v>
      </c>
      <c r="E92">
        <v>2017</v>
      </c>
      <c r="F92">
        <v>349.99</v>
      </c>
      <c r="G92" s="1" t="str">
        <f>_xlfn.XLOOKUP(D92,category!A:A,category!B:B,"not found",0)</f>
        <v>Children Bicycles</v>
      </c>
      <c r="H92" s="1">
        <f>(order_items!D92*order_items!E92)-order_items!F92</f>
        <v>448.9</v>
      </c>
    </row>
    <row r="93" spans="1:8" x14ac:dyDescent="0.25">
      <c r="A93">
        <v>92</v>
      </c>
      <c r="B93" t="s">
        <v>98</v>
      </c>
      <c r="C93">
        <v>2</v>
      </c>
      <c r="D93">
        <v>1</v>
      </c>
      <c r="E93">
        <v>2017</v>
      </c>
      <c r="F93">
        <v>209.99</v>
      </c>
      <c r="G93" s="1" t="str">
        <f>_xlfn.XLOOKUP(D93,category!A:A,category!B:B,"not found",0)</f>
        <v>Children Bicycles</v>
      </c>
      <c r="H93" s="1">
        <f>(order_items!D93*order_items!E93)-order_items!F93</f>
        <v>2899.89</v>
      </c>
    </row>
    <row r="94" spans="1:8" x14ac:dyDescent="0.25">
      <c r="A94">
        <v>93</v>
      </c>
      <c r="B94" t="s">
        <v>99</v>
      </c>
      <c r="C94">
        <v>2</v>
      </c>
      <c r="D94">
        <v>1</v>
      </c>
      <c r="E94">
        <v>2017</v>
      </c>
      <c r="F94">
        <v>209.99</v>
      </c>
      <c r="G94" s="1" t="str">
        <f>_xlfn.XLOOKUP(D94,category!A:A,category!B:B,"not found",0)</f>
        <v>Children Bicycles</v>
      </c>
      <c r="H94" s="1">
        <f>(order_items!D94*order_items!E94)-order_items!F94</f>
        <v>7999.8799999999992</v>
      </c>
    </row>
    <row r="95" spans="1:8" x14ac:dyDescent="0.25">
      <c r="A95">
        <v>94</v>
      </c>
      <c r="B95" t="s">
        <v>100</v>
      </c>
      <c r="C95">
        <v>2</v>
      </c>
      <c r="D95">
        <v>1</v>
      </c>
      <c r="E95">
        <v>2017</v>
      </c>
      <c r="F95">
        <v>249.99</v>
      </c>
      <c r="G95" s="1" t="str">
        <f>_xlfn.XLOOKUP(D95,category!A:A,category!B:B,"not found",0)</f>
        <v>Children Bicycles</v>
      </c>
      <c r="H95" s="1">
        <f>(order_items!D95*order_items!E95)-order_items!F95</f>
        <v>3361.93</v>
      </c>
    </row>
    <row r="96" spans="1:8" x14ac:dyDescent="0.25">
      <c r="A96">
        <v>95</v>
      </c>
      <c r="B96" t="s">
        <v>82</v>
      </c>
      <c r="C96">
        <v>1</v>
      </c>
      <c r="D96">
        <v>1</v>
      </c>
      <c r="E96">
        <v>2017</v>
      </c>
      <c r="F96">
        <v>299.99</v>
      </c>
      <c r="G96" s="1" t="str">
        <f>_xlfn.XLOOKUP(D96,category!A:A,category!B:B,"not found",0)</f>
        <v>Children Bicycles</v>
      </c>
      <c r="H96" s="1">
        <f>(order_items!D96*order_items!E96)-order_items!F96</f>
        <v>5999.78</v>
      </c>
    </row>
    <row r="97" spans="1:8" x14ac:dyDescent="0.25">
      <c r="A97">
        <v>96</v>
      </c>
      <c r="B97" t="s">
        <v>101</v>
      </c>
      <c r="C97">
        <v>1</v>
      </c>
      <c r="D97">
        <v>1</v>
      </c>
      <c r="E97">
        <v>2017</v>
      </c>
      <c r="F97">
        <v>349.99</v>
      </c>
      <c r="G97" s="1" t="str">
        <f>_xlfn.XLOOKUP(D97,category!A:A,category!B:B,"not found",0)</f>
        <v>Children Bicycles</v>
      </c>
      <c r="H97" s="1">
        <f>(order_items!D97*order_items!E97)-order_items!F97</f>
        <v>3599.91</v>
      </c>
    </row>
    <row r="98" spans="1:8" x14ac:dyDescent="0.25">
      <c r="A98">
        <v>97</v>
      </c>
      <c r="B98" t="s">
        <v>102</v>
      </c>
      <c r="C98">
        <v>1</v>
      </c>
      <c r="D98">
        <v>1</v>
      </c>
      <c r="E98">
        <v>2017</v>
      </c>
      <c r="F98">
        <v>349.99</v>
      </c>
      <c r="G98" s="1" t="str">
        <f>_xlfn.XLOOKUP(D98,category!A:A,category!B:B,"not found",0)</f>
        <v>Children Bicycles</v>
      </c>
      <c r="H98" s="1">
        <f>(order_items!D98*order_items!E98)-order_items!F98</f>
        <v>1099.9100000000001</v>
      </c>
    </row>
    <row r="99" spans="1:8" x14ac:dyDescent="0.25">
      <c r="A99">
        <v>98</v>
      </c>
      <c r="B99" t="s">
        <v>103</v>
      </c>
      <c r="C99">
        <v>1</v>
      </c>
      <c r="D99">
        <v>1</v>
      </c>
      <c r="E99">
        <v>2017</v>
      </c>
      <c r="F99">
        <v>489.99</v>
      </c>
      <c r="G99" s="1" t="str">
        <f>_xlfn.XLOOKUP(D99,category!A:A,category!B:B,"not found",0)</f>
        <v>Children Bicycles</v>
      </c>
      <c r="H99" s="1">
        <f>(order_items!D99*order_items!E99)-order_items!F99</f>
        <v>999.88</v>
      </c>
    </row>
    <row r="100" spans="1:8" x14ac:dyDescent="0.25">
      <c r="A100">
        <v>99</v>
      </c>
      <c r="B100" t="s">
        <v>104</v>
      </c>
      <c r="C100">
        <v>1</v>
      </c>
      <c r="D100">
        <v>1</v>
      </c>
      <c r="E100">
        <v>2017</v>
      </c>
      <c r="F100">
        <v>299.99</v>
      </c>
      <c r="G100" s="1" t="str">
        <f>_xlfn.XLOOKUP(D100,category!A:A,category!B:B,"not found",0)</f>
        <v>Children Bicycles</v>
      </c>
      <c r="H100" s="1">
        <f>(order_items!D100*order_items!E100)-order_items!F100</f>
        <v>599.91</v>
      </c>
    </row>
    <row r="101" spans="1:8" x14ac:dyDescent="0.25">
      <c r="A101">
        <v>100</v>
      </c>
      <c r="B101" t="s">
        <v>105</v>
      </c>
      <c r="C101">
        <v>1</v>
      </c>
      <c r="D101">
        <v>1</v>
      </c>
      <c r="E101">
        <v>2017</v>
      </c>
      <c r="F101">
        <v>489.99</v>
      </c>
      <c r="G101" s="1" t="str">
        <f>_xlfn.XLOOKUP(D101,category!A:A,category!B:B,"not found",0)</f>
        <v>Children Bicycles</v>
      </c>
      <c r="H101" s="1">
        <f>(order_items!D101*order_items!E101)-order_items!F101</f>
        <v>3999.89</v>
      </c>
    </row>
    <row r="102" spans="1:8" x14ac:dyDescent="0.25">
      <c r="A102">
        <v>101</v>
      </c>
      <c r="B102" t="s">
        <v>106</v>
      </c>
      <c r="C102">
        <v>1</v>
      </c>
      <c r="D102">
        <v>1</v>
      </c>
      <c r="E102">
        <v>2017</v>
      </c>
      <c r="F102">
        <v>339.99</v>
      </c>
      <c r="G102" s="1" t="str">
        <f>_xlfn.XLOOKUP(D102,category!A:A,category!B:B,"not found",0)</f>
        <v>Children Bicycles</v>
      </c>
      <c r="H102" s="1">
        <f>(order_items!D102*order_items!E102)-order_items!F102</f>
        <v>3599.91</v>
      </c>
    </row>
    <row r="103" spans="1:8" x14ac:dyDescent="0.25">
      <c r="A103">
        <v>102</v>
      </c>
      <c r="B103" t="s">
        <v>70</v>
      </c>
      <c r="C103">
        <v>1</v>
      </c>
      <c r="D103">
        <v>2</v>
      </c>
      <c r="E103">
        <v>2017</v>
      </c>
      <c r="F103">
        <v>489.99</v>
      </c>
      <c r="G103" s="1" t="str">
        <f>_xlfn.XLOOKUP(D103,category!A:A,category!B:B,"not found",0)</f>
        <v>Comfort Bicycles</v>
      </c>
      <c r="H103" s="1">
        <f>(order_items!D103*order_items!E103)-order_items!F103</f>
        <v>3097.9</v>
      </c>
    </row>
    <row r="104" spans="1:8" x14ac:dyDescent="0.25">
      <c r="A104">
        <v>103</v>
      </c>
      <c r="B104" t="s">
        <v>107</v>
      </c>
      <c r="C104">
        <v>7</v>
      </c>
      <c r="D104">
        <v>2</v>
      </c>
      <c r="E104">
        <v>2017</v>
      </c>
      <c r="F104">
        <v>551.99</v>
      </c>
      <c r="G104" s="1" t="str">
        <f>_xlfn.XLOOKUP(D104,category!A:A,category!B:B,"not found",0)</f>
        <v>Comfort Bicycles</v>
      </c>
      <c r="H104" s="1">
        <f>(order_items!D104*order_items!E104)-order_items!F104</f>
        <v>857.8</v>
      </c>
    </row>
    <row r="105" spans="1:8" x14ac:dyDescent="0.25">
      <c r="A105">
        <v>104</v>
      </c>
      <c r="B105" t="s">
        <v>108</v>
      </c>
      <c r="C105">
        <v>7</v>
      </c>
      <c r="D105">
        <v>2</v>
      </c>
      <c r="E105">
        <v>2017</v>
      </c>
      <c r="F105">
        <v>481.99</v>
      </c>
      <c r="G105" s="1" t="str">
        <f>_xlfn.XLOOKUP(D105,category!A:A,category!B:B,"not found",0)</f>
        <v>Comfort Bicycles</v>
      </c>
      <c r="H105" s="1">
        <f>(order_items!D105*order_items!E105)-order_items!F105</f>
        <v>448.95</v>
      </c>
    </row>
    <row r="106" spans="1:8" x14ac:dyDescent="0.25">
      <c r="A106">
        <v>105</v>
      </c>
      <c r="B106" t="s">
        <v>109</v>
      </c>
      <c r="C106">
        <v>7</v>
      </c>
      <c r="D106">
        <v>2</v>
      </c>
      <c r="E106">
        <v>2017</v>
      </c>
      <c r="F106">
        <v>533.99</v>
      </c>
      <c r="G106" s="1" t="str">
        <f>_xlfn.XLOOKUP(D106,category!A:A,category!B:B,"not found",0)</f>
        <v>Comfort Bicycles</v>
      </c>
      <c r="H106" s="1">
        <f>(order_items!D106*order_items!E106)-order_items!F106</f>
        <v>1199.93</v>
      </c>
    </row>
    <row r="107" spans="1:8" x14ac:dyDescent="0.25">
      <c r="A107">
        <v>106</v>
      </c>
      <c r="B107" t="s">
        <v>74</v>
      </c>
      <c r="C107">
        <v>7</v>
      </c>
      <c r="D107">
        <v>2</v>
      </c>
      <c r="E107">
        <v>2017</v>
      </c>
      <c r="F107">
        <v>449.99</v>
      </c>
      <c r="G107" s="1" t="str">
        <f>_xlfn.XLOOKUP(D107,category!A:A,category!B:B,"not found",0)</f>
        <v>Comfort Bicycles</v>
      </c>
      <c r="H107" s="1">
        <f>(order_items!D107*order_items!E107)-order_items!F107</f>
        <v>1320.79</v>
      </c>
    </row>
    <row r="108" spans="1:8" x14ac:dyDescent="0.25">
      <c r="A108">
        <v>107</v>
      </c>
      <c r="B108" t="s">
        <v>75</v>
      </c>
      <c r="C108">
        <v>7</v>
      </c>
      <c r="D108">
        <v>2</v>
      </c>
      <c r="E108">
        <v>2017</v>
      </c>
      <c r="F108">
        <v>416.99</v>
      </c>
      <c r="G108" s="1" t="str">
        <f>_xlfn.XLOOKUP(D108,category!A:A,category!B:B,"not found",0)</f>
        <v>Comfort Bicycles</v>
      </c>
      <c r="H108" s="1">
        <f>(order_items!D108*order_items!E108)-order_items!F108</f>
        <v>539.91</v>
      </c>
    </row>
    <row r="109" spans="1:8" x14ac:dyDescent="0.25">
      <c r="A109">
        <v>108</v>
      </c>
      <c r="B109" t="s">
        <v>110</v>
      </c>
      <c r="C109">
        <v>7</v>
      </c>
      <c r="D109">
        <v>2</v>
      </c>
      <c r="E109">
        <v>2017</v>
      </c>
      <c r="F109">
        <v>449.99</v>
      </c>
      <c r="G109" s="1" t="str">
        <f>_xlfn.XLOOKUP(D109,category!A:A,category!B:B,"not found",0)</f>
        <v>Comfort Bicycles</v>
      </c>
      <c r="H109" s="1">
        <f>(order_items!D109*order_items!E109)-order_items!F109</f>
        <v>269.92</v>
      </c>
    </row>
    <row r="110" spans="1:8" x14ac:dyDescent="0.25">
      <c r="A110">
        <v>109</v>
      </c>
      <c r="B110" t="s">
        <v>111</v>
      </c>
      <c r="C110">
        <v>7</v>
      </c>
      <c r="D110">
        <v>2</v>
      </c>
      <c r="E110">
        <v>2017</v>
      </c>
      <c r="F110">
        <v>416.99</v>
      </c>
      <c r="G110" s="1" t="str">
        <f>_xlfn.XLOOKUP(D110,category!A:A,category!B:B,"not found",0)</f>
        <v>Comfort Bicycles</v>
      </c>
      <c r="H110" s="1">
        <f>(order_items!D110*order_items!E110)-order_items!F110</f>
        <v>2999.9199999999996</v>
      </c>
    </row>
    <row r="111" spans="1:8" x14ac:dyDescent="0.25">
      <c r="A111">
        <v>110</v>
      </c>
      <c r="B111" t="s">
        <v>112</v>
      </c>
      <c r="C111">
        <v>7</v>
      </c>
      <c r="D111">
        <v>2</v>
      </c>
      <c r="E111">
        <v>2017</v>
      </c>
      <c r="F111">
        <v>470.99</v>
      </c>
      <c r="G111" s="1" t="str">
        <f>_xlfn.XLOOKUP(D111,category!A:A,category!B:B,"not found",0)</f>
        <v>Comfort Bicycles</v>
      </c>
      <c r="H111" s="1">
        <f>(order_items!D111*order_items!E111)-order_items!F111</f>
        <v>1320.94</v>
      </c>
    </row>
    <row r="112" spans="1:8" x14ac:dyDescent="0.25">
      <c r="A112">
        <v>111</v>
      </c>
      <c r="B112" t="s">
        <v>113</v>
      </c>
      <c r="C112">
        <v>7</v>
      </c>
      <c r="D112">
        <v>2</v>
      </c>
      <c r="E112">
        <v>2017</v>
      </c>
      <c r="F112">
        <v>470.99</v>
      </c>
      <c r="G112" s="1" t="str">
        <f>_xlfn.XLOOKUP(D112,category!A:A,category!B:B,"not found",0)</f>
        <v>Comfort Bicycles</v>
      </c>
      <c r="H112" s="1">
        <f>(order_items!D112*order_items!E112)-order_items!F112</f>
        <v>1999.78</v>
      </c>
    </row>
    <row r="113" spans="1:8" x14ac:dyDescent="0.25">
      <c r="A113">
        <v>112</v>
      </c>
      <c r="B113" t="s">
        <v>114</v>
      </c>
      <c r="C113">
        <v>9</v>
      </c>
      <c r="D113">
        <v>6</v>
      </c>
      <c r="E113">
        <v>2018</v>
      </c>
      <c r="F113">
        <v>379.99</v>
      </c>
      <c r="G113" s="1" t="str">
        <f>_xlfn.XLOOKUP(D113,category!A:A,category!B:B,"not found",0)</f>
        <v>Mountain Bikes</v>
      </c>
      <c r="H113" s="1">
        <f>(order_items!D113*order_items!E113)-order_items!F113</f>
        <v>1199.93</v>
      </c>
    </row>
    <row r="114" spans="1:8" x14ac:dyDescent="0.25">
      <c r="A114">
        <v>113</v>
      </c>
      <c r="B114" t="s">
        <v>115</v>
      </c>
      <c r="C114">
        <v>9</v>
      </c>
      <c r="D114">
        <v>6</v>
      </c>
      <c r="E114">
        <v>2018</v>
      </c>
      <c r="F114">
        <v>489.99</v>
      </c>
      <c r="G114" s="1" t="str">
        <f>_xlfn.XLOOKUP(D114,category!A:A,category!B:B,"not found",0)</f>
        <v>Mountain Bikes</v>
      </c>
      <c r="H114" s="1">
        <f>(order_items!D114*order_items!E114)-order_items!F114</f>
        <v>7999.9299999999994</v>
      </c>
    </row>
    <row r="115" spans="1:8" x14ac:dyDescent="0.25">
      <c r="A115">
        <v>114</v>
      </c>
      <c r="B115" t="s">
        <v>116</v>
      </c>
      <c r="C115">
        <v>9</v>
      </c>
      <c r="D115">
        <v>6</v>
      </c>
      <c r="E115">
        <v>2018</v>
      </c>
      <c r="F115">
        <v>579.99</v>
      </c>
      <c r="G115" s="1" t="str">
        <f>_xlfn.XLOOKUP(D115,category!A:A,category!B:B,"not found",0)</f>
        <v>Mountain Bikes</v>
      </c>
      <c r="H115" s="1">
        <f>(order_items!D115*order_items!E115)-order_items!F115</f>
        <v>299.92</v>
      </c>
    </row>
    <row r="116" spans="1:8" x14ac:dyDescent="0.25">
      <c r="A116">
        <v>115</v>
      </c>
      <c r="B116" t="s">
        <v>117</v>
      </c>
      <c r="C116">
        <v>9</v>
      </c>
      <c r="D116">
        <v>6</v>
      </c>
      <c r="E116">
        <v>2018</v>
      </c>
      <c r="F116">
        <v>3199.99</v>
      </c>
      <c r="G116" s="1" t="str">
        <f>_xlfn.XLOOKUP(D116,category!A:A,category!B:B,"not found",0)</f>
        <v>Mountain Bikes</v>
      </c>
      <c r="H116" s="1">
        <f>(order_items!D116*order_items!E116)-order_items!F116</f>
        <v>499.79</v>
      </c>
    </row>
    <row r="117" spans="1:8" x14ac:dyDescent="0.25">
      <c r="A117">
        <v>116</v>
      </c>
      <c r="B117" t="s">
        <v>118</v>
      </c>
      <c r="C117">
        <v>9</v>
      </c>
      <c r="D117">
        <v>6</v>
      </c>
      <c r="E117">
        <v>2018</v>
      </c>
      <c r="F117">
        <v>749.99</v>
      </c>
      <c r="G117" s="1" t="str">
        <f>_xlfn.XLOOKUP(D117,category!A:A,category!B:B,"not found",0)</f>
        <v>Mountain Bikes</v>
      </c>
      <c r="H117" s="1">
        <f>(order_items!D117*order_items!E117)-order_items!F117</f>
        <v>3097.9</v>
      </c>
    </row>
    <row r="118" spans="1:8" x14ac:dyDescent="0.25">
      <c r="A118">
        <v>117</v>
      </c>
      <c r="B118" t="s">
        <v>119</v>
      </c>
      <c r="C118">
        <v>9</v>
      </c>
      <c r="D118">
        <v>6</v>
      </c>
      <c r="E118">
        <v>2018</v>
      </c>
      <c r="F118">
        <v>1469.99</v>
      </c>
      <c r="G118" s="1" t="str">
        <f>_xlfn.XLOOKUP(D118,category!A:A,category!B:B,"not found",0)</f>
        <v>Mountain Bikes</v>
      </c>
      <c r="H118" s="1">
        <f>(order_items!D118*order_items!E118)-order_items!F118</f>
        <v>549.91999999999996</v>
      </c>
    </row>
    <row r="119" spans="1:8" x14ac:dyDescent="0.25">
      <c r="A119">
        <v>118</v>
      </c>
      <c r="B119" t="s">
        <v>120</v>
      </c>
      <c r="C119">
        <v>9</v>
      </c>
      <c r="D119">
        <v>6</v>
      </c>
      <c r="E119">
        <v>2018</v>
      </c>
      <c r="F119">
        <v>999.99</v>
      </c>
      <c r="G119" s="1" t="str">
        <f>_xlfn.XLOOKUP(D119,category!A:A,category!B:B,"not found",0)</f>
        <v>Mountain Bikes</v>
      </c>
      <c r="H119" s="1">
        <f>(order_items!D119*order_items!E119)-order_items!F119</f>
        <v>539.78</v>
      </c>
    </row>
    <row r="120" spans="1:8" x14ac:dyDescent="0.25">
      <c r="A120">
        <v>119</v>
      </c>
      <c r="B120" t="s">
        <v>121</v>
      </c>
      <c r="C120">
        <v>9</v>
      </c>
      <c r="D120">
        <v>6</v>
      </c>
      <c r="E120">
        <v>2018</v>
      </c>
      <c r="F120">
        <v>469.99</v>
      </c>
      <c r="G120" s="1" t="str">
        <f>_xlfn.XLOOKUP(D120,category!A:A,category!B:B,"not found",0)</f>
        <v>Mountain Bikes</v>
      </c>
      <c r="H120" s="1">
        <f>(order_items!D120*order_items!E120)-order_items!F120</f>
        <v>1199.78</v>
      </c>
    </row>
    <row r="121" spans="1:8" x14ac:dyDescent="0.25">
      <c r="A121">
        <v>120</v>
      </c>
      <c r="B121" t="s">
        <v>122</v>
      </c>
      <c r="C121">
        <v>9</v>
      </c>
      <c r="D121">
        <v>6</v>
      </c>
      <c r="E121">
        <v>2018</v>
      </c>
      <c r="F121">
        <v>2499.9899999999998</v>
      </c>
      <c r="G121" s="1" t="str">
        <f>_xlfn.XLOOKUP(D121,category!A:A,category!B:B,"not found",0)</f>
        <v>Mountain Bikes</v>
      </c>
      <c r="H121" s="1">
        <f>(order_items!D121*order_items!E121)-order_items!F121</f>
        <v>1999.93</v>
      </c>
    </row>
    <row r="122" spans="1:8" x14ac:dyDescent="0.25">
      <c r="A122">
        <v>121</v>
      </c>
      <c r="B122" t="s">
        <v>123</v>
      </c>
      <c r="C122">
        <v>8</v>
      </c>
      <c r="D122">
        <v>6</v>
      </c>
      <c r="E122">
        <v>2018</v>
      </c>
      <c r="F122">
        <v>2499.9899999999998</v>
      </c>
      <c r="G122" s="1" t="str">
        <f>_xlfn.XLOOKUP(D122,category!A:A,category!B:B,"not found",0)</f>
        <v>Mountain Bikes</v>
      </c>
      <c r="H122" s="1">
        <f>(order_items!D122*order_items!E122)-order_items!F122</f>
        <v>529.89</v>
      </c>
    </row>
    <row r="123" spans="1:8" x14ac:dyDescent="0.25">
      <c r="A123">
        <v>122</v>
      </c>
      <c r="B123" t="s">
        <v>124</v>
      </c>
      <c r="C123">
        <v>8</v>
      </c>
      <c r="D123">
        <v>6</v>
      </c>
      <c r="E123">
        <v>2018</v>
      </c>
      <c r="F123">
        <v>2499.9899999999998</v>
      </c>
      <c r="G123" s="1" t="str">
        <f>_xlfn.XLOOKUP(D123,category!A:A,category!B:B,"not found",0)</f>
        <v>Mountain Bikes</v>
      </c>
      <c r="H123" s="1">
        <f>(order_items!D123*order_items!E123)-order_items!F123</f>
        <v>428.8</v>
      </c>
    </row>
    <row r="124" spans="1:8" x14ac:dyDescent="0.25">
      <c r="A124">
        <v>123</v>
      </c>
      <c r="B124" t="s">
        <v>125</v>
      </c>
      <c r="C124">
        <v>9</v>
      </c>
      <c r="D124">
        <v>6</v>
      </c>
      <c r="E124">
        <v>2018</v>
      </c>
      <c r="F124">
        <v>999.99</v>
      </c>
      <c r="G124" s="1" t="str">
        <f>_xlfn.XLOOKUP(D124,category!A:A,category!B:B,"not found",0)</f>
        <v>Mountain Bikes</v>
      </c>
      <c r="H124" s="1">
        <f>(order_items!D124*order_items!E124)-order_items!F124</f>
        <v>3599.78</v>
      </c>
    </row>
    <row r="125" spans="1:8" x14ac:dyDescent="0.25">
      <c r="A125">
        <v>124</v>
      </c>
      <c r="B125" t="s">
        <v>126</v>
      </c>
      <c r="C125">
        <v>8</v>
      </c>
      <c r="D125">
        <v>6</v>
      </c>
      <c r="E125">
        <v>2018</v>
      </c>
      <c r="F125">
        <v>1499</v>
      </c>
      <c r="G125" s="1" t="str">
        <f>_xlfn.XLOOKUP(D125,category!A:A,category!B:B,"not found",0)</f>
        <v>Mountain Bikes</v>
      </c>
      <c r="H125" s="1">
        <f>(order_items!D125*order_items!E125)-order_items!F125</f>
        <v>1320.89</v>
      </c>
    </row>
    <row r="126" spans="1:8" x14ac:dyDescent="0.25">
      <c r="A126">
        <v>125</v>
      </c>
      <c r="B126" t="s">
        <v>127</v>
      </c>
      <c r="C126">
        <v>9</v>
      </c>
      <c r="D126">
        <v>6</v>
      </c>
      <c r="E126">
        <v>2018</v>
      </c>
      <c r="F126">
        <v>469.99</v>
      </c>
      <c r="G126" s="1" t="str">
        <f>_xlfn.XLOOKUP(D126,category!A:A,category!B:B,"not found",0)</f>
        <v>Mountain Bikes</v>
      </c>
      <c r="H126" s="1">
        <f>(order_items!D126*order_items!E126)-order_items!F126</f>
        <v>897.8</v>
      </c>
    </row>
    <row r="127" spans="1:8" x14ac:dyDescent="0.25">
      <c r="A127">
        <v>126</v>
      </c>
      <c r="B127" t="s">
        <v>128</v>
      </c>
      <c r="C127">
        <v>8</v>
      </c>
      <c r="D127">
        <v>6</v>
      </c>
      <c r="E127">
        <v>2018</v>
      </c>
      <c r="F127">
        <v>469.99</v>
      </c>
      <c r="G127" s="1" t="str">
        <f>_xlfn.XLOOKUP(D127,category!A:A,category!B:B,"not found",0)</f>
        <v>Mountain Bikes</v>
      </c>
      <c r="H127" s="1">
        <f>(order_items!D127*order_items!E127)-order_items!F127</f>
        <v>1199.78</v>
      </c>
    </row>
    <row r="128" spans="1:8" x14ac:dyDescent="0.25">
      <c r="A128">
        <v>127</v>
      </c>
      <c r="B128" t="s">
        <v>129</v>
      </c>
      <c r="C128">
        <v>8</v>
      </c>
      <c r="D128">
        <v>6</v>
      </c>
      <c r="E128">
        <v>2018</v>
      </c>
      <c r="F128">
        <v>469.99</v>
      </c>
      <c r="G128" s="1" t="str">
        <f>_xlfn.XLOOKUP(D128,category!A:A,category!B:B,"not found",0)</f>
        <v>Mountain Bikes</v>
      </c>
      <c r="H128" s="1">
        <f>(order_items!D128*order_items!E128)-order_items!F128</f>
        <v>448.95</v>
      </c>
    </row>
    <row r="129" spans="1:8" x14ac:dyDescent="0.25">
      <c r="A129">
        <v>128</v>
      </c>
      <c r="B129" t="s">
        <v>130</v>
      </c>
      <c r="C129">
        <v>8</v>
      </c>
      <c r="D129">
        <v>6</v>
      </c>
      <c r="E129">
        <v>2018</v>
      </c>
      <c r="F129">
        <v>1899</v>
      </c>
      <c r="G129" s="1" t="str">
        <f>_xlfn.XLOOKUP(D129,category!A:A,category!B:B,"not found",0)</f>
        <v>Mountain Bikes</v>
      </c>
      <c r="H129" s="1">
        <f>(order_items!D129*order_items!E129)-order_items!F129</f>
        <v>539.88</v>
      </c>
    </row>
    <row r="130" spans="1:8" x14ac:dyDescent="0.25">
      <c r="A130">
        <v>129</v>
      </c>
      <c r="B130" t="s">
        <v>131</v>
      </c>
      <c r="C130">
        <v>9</v>
      </c>
      <c r="D130">
        <v>6</v>
      </c>
      <c r="E130">
        <v>2018</v>
      </c>
      <c r="F130">
        <v>919.99</v>
      </c>
      <c r="G130" s="1" t="str">
        <f>_xlfn.XLOOKUP(D130,category!A:A,category!B:B,"not found",0)</f>
        <v>Mountain Bikes</v>
      </c>
      <c r="H130" s="1">
        <f>(order_items!D130*order_items!E130)-order_items!F130</f>
        <v>1099.93</v>
      </c>
    </row>
    <row r="131" spans="1:8" x14ac:dyDescent="0.25">
      <c r="A131">
        <v>130</v>
      </c>
      <c r="B131" t="s">
        <v>132</v>
      </c>
      <c r="C131">
        <v>9</v>
      </c>
      <c r="D131">
        <v>6</v>
      </c>
      <c r="E131">
        <v>2018</v>
      </c>
      <c r="F131">
        <v>919.99</v>
      </c>
      <c r="G131" s="1" t="str">
        <f>_xlfn.XLOOKUP(D131,category!A:A,category!B:B,"not found",0)</f>
        <v>Mountain Bikes</v>
      </c>
      <c r="H131" s="1">
        <f>(order_items!D131*order_items!E131)-order_items!F131</f>
        <v>3999.89</v>
      </c>
    </row>
    <row r="132" spans="1:8" x14ac:dyDescent="0.25">
      <c r="A132">
        <v>131</v>
      </c>
      <c r="B132" t="s">
        <v>133</v>
      </c>
      <c r="C132">
        <v>3</v>
      </c>
      <c r="D132">
        <v>6</v>
      </c>
      <c r="E132">
        <v>2018</v>
      </c>
      <c r="F132">
        <v>2599</v>
      </c>
      <c r="G132" s="1" t="str">
        <f>_xlfn.XLOOKUP(D132,category!A:A,category!B:B,"not found",0)</f>
        <v>Mountain Bikes</v>
      </c>
      <c r="H132" s="1">
        <f>(order_items!D132*order_items!E132)-order_items!F132</f>
        <v>599.94000000000005</v>
      </c>
    </row>
    <row r="133" spans="1:8" x14ac:dyDescent="0.25">
      <c r="A133">
        <v>132</v>
      </c>
      <c r="B133" t="s">
        <v>134</v>
      </c>
      <c r="C133">
        <v>9</v>
      </c>
      <c r="D133">
        <v>6</v>
      </c>
      <c r="E133">
        <v>2018</v>
      </c>
      <c r="F133">
        <v>1499.99</v>
      </c>
      <c r="G133" s="1" t="str">
        <f>_xlfn.XLOOKUP(D133,category!A:A,category!B:B,"not found",0)</f>
        <v>Mountain Bikes</v>
      </c>
      <c r="H133" s="1">
        <f>(order_items!D133*order_items!E133)-order_items!F133</f>
        <v>5799.78</v>
      </c>
    </row>
    <row r="134" spans="1:8" x14ac:dyDescent="0.25">
      <c r="A134">
        <v>133</v>
      </c>
      <c r="B134" t="s">
        <v>135</v>
      </c>
      <c r="C134">
        <v>9</v>
      </c>
      <c r="D134">
        <v>6</v>
      </c>
      <c r="E134">
        <v>2018</v>
      </c>
      <c r="F134">
        <v>1499.99</v>
      </c>
      <c r="G134" s="1" t="str">
        <f>_xlfn.XLOOKUP(D134,category!A:A,category!B:B,"not found",0)</f>
        <v>Mountain Bikes</v>
      </c>
      <c r="H134" s="1">
        <f>(order_items!D134*order_items!E134)-order_items!F134</f>
        <v>269.92</v>
      </c>
    </row>
    <row r="135" spans="1:8" x14ac:dyDescent="0.25">
      <c r="A135">
        <v>134</v>
      </c>
      <c r="B135" t="s">
        <v>136</v>
      </c>
      <c r="C135">
        <v>9</v>
      </c>
      <c r="D135">
        <v>6</v>
      </c>
      <c r="E135">
        <v>2018</v>
      </c>
      <c r="F135">
        <v>1499.99</v>
      </c>
      <c r="G135" s="1" t="str">
        <f>_xlfn.XLOOKUP(D135,category!A:A,category!B:B,"not found",0)</f>
        <v>Mountain Bikes</v>
      </c>
      <c r="H135" s="1">
        <f>(order_items!D135*order_items!E135)-order_items!F135</f>
        <v>539.93000000000006</v>
      </c>
    </row>
    <row r="136" spans="1:8" x14ac:dyDescent="0.25">
      <c r="A136">
        <v>135</v>
      </c>
      <c r="B136" t="s">
        <v>137</v>
      </c>
      <c r="C136">
        <v>9</v>
      </c>
      <c r="D136">
        <v>6</v>
      </c>
      <c r="E136">
        <v>2018</v>
      </c>
      <c r="F136">
        <v>1499.99</v>
      </c>
      <c r="G136" s="1" t="str">
        <f>_xlfn.XLOOKUP(D136,category!A:A,category!B:B,"not found",0)</f>
        <v>Mountain Bikes</v>
      </c>
      <c r="H136" s="1">
        <f>(order_items!D136*order_items!E136)-order_items!F136</f>
        <v>428.9</v>
      </c>
    </row>
    <row r="137" spans="1:8" x14ac:dyDescent="0.25">
      <c r="A137">
        <v>136</v>
      </c>
      <c r="B137" t="s">
        <v>138</v>
      </c>
      <c r="C137">
        <v>9</v>
      </c>
      <c r="D137">
        <v>6</v>
      </c>
      <c r="E137">
        <v>2018</v>
      </c>
      <c r="F137">
        <v>1799.99</v>
      </c>
      <c r="G137" s="1" t="str">
        <f>_xlfn.XLOOKUP(D137,category!A:A,category!B:B,"not found",0)</f>
        <v>Mountain Bikes</v>
      </c>
      <c r="H137" s="1">
        <f>(order_items!D137*order_items!E137)-order_items!F137</f>
        <v>469.94</v>
      </c>
    </row>
    <row r="138" spans="1:8" x14ac:dyDescent="0.25">
      <c r="A138">
        <v>137</v>
      </c>
      <c r="B138" t="s">
        <v>139</v>
      </c>
      <c r="C138">
        <v>3</v>
      </c>
      <c r="D138">
        <v>6</v>
      </c>
      <c r="E138">
        <v>2018</v>
      </c>
      <c r="F138">
        <v>2599</v>
      </c>
      <c r="G138" s="1" t="str">
        <f>_xlfn.XLOOKUP(D138,category!A:A,category!B:B,"not found",0)</f>
        <v>Mountain Bikes</v>
      </c>
      <c r="H138" s="1">
        <f>(order_items!D138*order_items!E138)-order_items!F138</f>
        <v>529.89</v>
      </c>
    </row>
    <row r="139" spans="1:8" x14ac:dyDescent="0.25">
      <c r="A139">
        <v>138</v>
      </c>
      <c r="B139" t="s">
        <v>140</v>
      </c>
      <c r="C139">
        <v>9</v>
      </c>
      <c r="D139">
        <v>6</v>
      </c>
      <c r="E139">
        <v>2018</v>
      </c>
      <c r="F139">
        <v>2249.9899999999998</v>
      </c>
      <c r="G139" s="1" t="str">
        <f>_xlfn.XLOOKUP(D139,category!A:A,category!B:B,"not found",0)</f>
        <v>Mountain Bikes</v>
      </c>
      <c r="H139" s="1">
        <f>(order_items!D139*order_items!E139)-order_items!F139</f>
        <v>999.91</v>
      </c>
    </row>
    <row r="140" spans="1:8" x14ac:dyDescent="0.25">
      <c r="A140">
        <v>139</v>
      </c>
      <c r="B140" t="s">
        <v>141</v>
      </c>
      <c r="C140">
        <v>9</v>
      </c>
      <c r="D140">
        <v>6</v>
      </c>
      <c r="E140">
        <v>2018</v>
      </c>
      <c r="F140">
        <v>2999.99</v>
      </c>
      <c r="G140" s="1" t="str">
        <f>_xlfn.XLOOKUP(D140,category!A:A,category!B:B,"not found",0)</f>
        <v>Mountain Bikes</v>
      </c>
      <c r="H140" s="1">
        <f>(order_items!D140*order_items!E140)-order_items!F140</f>
        <v>269.79000000000002</v>
      </c>
    </row>
    <row r="141" spans="1:8" x14ac:dyDescent="0.25">
      <c r="A141">
        <v>140</v>
      </c>
      <c r="B141" t="s">
        <v>142</v>
      </c>
      <c r="C141">
        <v>9</v>
      </c>
      <c r="D141">
        <v>6</v>
      </c>
      <c r="E141">
        <v>2018</v>
      </c>
      <c r="F141">
        <v>4999.99</v>
      </c>
      <c r="G141" s="1" t="str">
        <f>_xlfn.XLOOKUP(D141,category!A:A,category!B:B,"not found",0)</f>
        <v>Mountain Bikes</v>
      </c>
      <c r="H141" s="1">
        <f>(order_items!D141*order_items!E141)-order_items!F141</f>
        <v>1680.89</v>
      </c>
    </row>
    <row r="142" spans="1:8" x14ac:dyDescent="0.25">
      <c r="A142">
        <v>141</v>
      </c>
      <c r="B142" t="s">
        <v>143</v>
      </c>
      <c r="C142">
        <v>9</v>
      </c>
      <c r="D142">
        <v>6</v>
      </c>
      <c r="E142">
        <v>2018</v>
      </c>
      <c r="F142">
        <v>1599.99</v>
      </c>
      <c r="G142" s="1" t="str">
        <f>_xlfn.XLOOKUP(D142,category!A:A,category!B:B,"not found",0)</f>
        <v>Mountain Bikes</v>
      </c>
      <c r="H142" s="1">
        <f>(order_items!D142*order_items!E142)-order_items!F142</f>
        <v>2899.79</v>
      </c>
    </row>
    <row r="143" spans="1:8" x14ac:dyDescent="0.25">
      <c r="A143">
        <v>142</v>
      </c>
      <c r="B143" t="s">
        <v>144</v>
      </c>
      <c r="C143">
        <v>9</v>
      </c>
      <c r="D143">
        <v>6</v>
      </c>
      <c r="E143">
        <v>2018</v>
      </c>
      <c r="F143">
        <v>3199.99</v>
      </c>
      <c r="G143" s="1" t="str">
        <f>_xlfn.XLOOKUP(D143,category!A:A,category!B:B,"not found",0)</f>
        <v>Mountain Bikes</v>
      </c>
      <c r="H143" s="1">
        <f>(order_items!D143*order_items!E143)-order_items!F143</f>
        <v>2641.88</v>
      </c>
    </row>
    <row r="144" spans="1:8" x14ac:dyDescent="0.25">
      <c r="A144">
        <v>143</v>
      </c>
      <c r="B144" t="s">
        <v>145</v>
      </c>
      <c r="C144">
        <v>9</v>
      </c>
      <c r="D144">
        <v>7</v>
      </c>
      <c r="E144">
        <v>2018</v>
      </c>
      <c r="F144">
        <v>1099.99</v>
      </c>
      <c r="G144" s="1" t="str">
        <f>_xlfn.XLOOKUP(D144,category!A:A,category!B:B,"not found",0)</f>
        <v>Road Bikes</v>
      </c>
      <c r="H144" s="1">
        <f>(order_items!D144*order_items!E144)-order_items!F144</f>
        <v>539.91</v>
      </c>
    </row>
    <row r="145" spans="1:8" x14ac:dyDescent="0.25">
      <c r="A145">
        <v>144</v>
      </c>
      <c r="B145" t="s">
        <v>146</v>
      </c>
      <c r="C145">
        <v>9</v>
      </c>
      <c r="D145">
        <v>7</v>
      </c>
      <c r="E145">
        <v>2018</v>
      </c>
      <c r="F145">
        <v>1549.99</v>
      </c>
      <c r="G145" s="1" t="str">
        <f>_xlfn.XLOOKUP(D145,category!A:A,category!B:B,"not found",0)</f>
        <v>Road Bikes</v>
      </c>
      <c r="H145" s="1">
        <f>(order_items!D145*order_items!E145)-order_items!F145</f>
        <v>539.91</v>
      </c>
    </row>
    <row r="146" spans="1:8" x14ac:dyDescent="0.25">
      <c r="A146">
        <v>145</v>
      </c>
      <c r="B146" t="s">
        <v>147</v>
      </c>
      <c r="C146">
        <v>9</v>
      </c>
      <c r="D146">
        <v>7</v>
      </c>
      <c r="E146">
        <v>2018</v>
      </c>
      <c r="F146">
        <v>1799.99</v>
      </c>
      <c r="G146" s="1" t="str">
        <f>_xlfn.XLOOKUP(D146,category!A:A,category!B:B,"not found",0)</f>
        <v>Road Bikes</v>
      </c>
      <c r="H146" s="1">
        <f>(order_items!D146*order_items!E146)-order_items!F146</f>
        <v>999.94</v>
      </c>
    </row>
    <row r="147" spans="1:8" x14ac:dyDescent="0.25">
      <c r="A147">
        <v>146</v>
      </c>
      <c r="B147" t="s">
        <v>148</v>
      </c>
      <c r="C147">
        <v>9</v>
      </c>
      <c r="D147">
        <v>7</v>
      </c>
      <c r="E147">
        <v>2018</v>
      </c>
      <c r="F147">
        <v>4999.99</v>
      </c>
      <c r="G147" s="1" t="str">
        <f>_xlfn.XLOOKUP(D147,category!A:A,category!B:B,"not found",0)</f>
        <v>Road Bikes</v>
      </c>
      <c r="H147" s="1">
        <f>(order_items!D147*order_items!E147)-order_items!F147</f>
        <v>1199.9100000000001</v>
      </c>
    </row>
    <row r="148" spans="1:8" x14ac:dyDescent="0.25">
      <c r="A148">
        <v>147</v>
      </c>
      <c r="B148" t="s">
        <v>149</v>
      </c>
      <c r="C148">
        <v>9</v>
      </c>
      <c r="D148">
        <v>7</v>
      </c>
      <c r="E148">
        <v>2018</v>
      </c>
      <c r="F148">
        <v>1799.99</v>
      </c>
      <c r="G148" s="1" t="str">
        <f>_xlfn.XLOOKUP(D148,category!A:A,category!B:B,"not found",0)</f>
        <v>Road Bikes</v>
      </c>
      <c r="H148" s="1">
        <f>(order_items!D148*order_items!E148)-order_items!F148</f>
        <v>539.78</v>
      </c>
    </row>
    <row r="149" spans="1:8" x14ac:dyDescent="0.25">
      <c r="A149">
        <v>148</v>
      </c>
      <c r="B149" t="s">
        <v>150</v>
      </c>
      <c r="C149">
        <v>9</v>
      </c>
      <c r="D149">
        <v>7</v>
      </c>
      <c r="E149">
        <v>2018</v>
      </c>
      <c r="F149">
        <v>5499.99</v>
      </c>
      <c r="G149" s="1" t="str">
        <f>_xlfn.XLOOKUP(D149,category!A:A,category!B:B,"not found",0)</f>
        <v>Road Bikes</v>
      </c>
      <c r="H149" s="1">
        <f>(order_items!D149*order_items!E149)-order_items!F149</f>
        <v>269.94</v>
      </c>
    </row>
    <row r="150" spans="1:8" x14ac:dyDescent="0.25">
      <c r="A150">
        <v>149</v>
      </c>
      <c r="B150" t="s">
        <v>151</v>
      </c>
      <c r="C150">
        <v>9</v>
      </c>
      <c r="D150">
        <v>7</v>
      </c>
      <c r="E150">
        <v>2018</v>
      </c>
      <c r="F150">
        <v>7499.99</v>
      </c>
      <c r="G150" s="1" t="str">
        <f>_xlfn.XLOOKUP(D150,category!A:A,category!B:B,"not found",0)</f>
        <v>Road Bikes</v>
      </c>
      <c r="H150" s="1">
        <f>(order_items!D150*order_items!E150)-order_items!F150</f>
        <v>599.94000000000005</v>
      </c>
    </row>
    <row r="151" spans="1:8" x14ac:dyDescent="0.25">
      <c r="A151">
        <v>150</v>
      </c>
      <c r="B151" t="s">
        <v>152</v>
      </c>
      <c r="C151">
        <v>9</v>
      </c>
      <c r="D151">
        <v>7</v>
      </c>
      <c r="E151">
        <v>2018</v>
      </c>
      <c r="F151">
        <v>4499.99</v>
      </c>
      <c r="G151" s="1" t="str">
        <f>_xlfn.XLOOKUP(D151,category!A:A,category!B:B,"not found",0)</f>
        <v>Road Bikes</v>
      </c>
      <c r="H151" s="1">
        <f>(order_items!D151*order_items!E151)-order_items!F151</f>
        <v>1199.78</v>
      </c>
    </row>
    <row r="152" spans="1:8" x14ac:dyDescent="0.25">
      <c r="A152">
        <v>151</v>
      </c>
      <c r="B152" t="s">
        <v>153</v>
      </c>
      <c r="C152">
        <v>9</v>
      </c>
      <c r="D152">
        <v>7</v>
      </c>
      <c r="E152">
        <v>2018</v>
      </c>
      <c r="F152">
        <v>1549.99</v>
      </c>
      <c r="G152" s="1" t="str">
        <f>_xlfn.XLOOKUP(D152,category!A:A,category!B:B,"not found",0)</f>
        <v>Road Bikes</v>
      </c>
      <c r="H152" s="1">
        <f>(order_items!D152*order_items!E152)-order_items!F152</f>
        <v>499.92</v>
      </c>
    </row>
    <row r="153" spans="1:8" x14ac:dyDescent="0.25">
      <c r="A153">
        <v>152</v>
      </c>
      <c r="B153" t="s">
        <v>154</v>
      </c>
      <c r="C153">
        <v>9</v>
      </c>
      <c r="D153">
        <v>7</v>
      </c>
      <c r="E153">
        <v>2018</v>
      </c>
      <c r="F153">
        <v>2499.9899999999998</v>
      </c>
      <c r="G153" s="1" t="str">
        <f>_xlfn.XLOOKUP(D153,category!A:A,category!B:B,"not found",0)</f>
        <v>Road Bikes</v>
      </c>
      <c r="H153" s="1">
        <f>(order_items!D153*order_items!E153)-order_items!F153</f>
        <v>3599.78</v>
      </c>
    </row>
    <row r="154" spans="1:8" x14ac:dyDescent="0.25">
      <c r="A154">
        <v>153</v>
      </c>
      <c r="B154" t="s">
        <v>155</v>
      </c>
      <c r="C154">
        <v>9</v>
      </c>
      <c r="D154">
        <v>7</v>
      </c>
      <c r="E154">
        <v>2018</v>
      </c>
      <c r="F154">
        <v>4999.99</v>
      </c>
      <c r="G154" s="1" t="str">
        <f>_xlfn.XLOOKUP(D154,category!A:A,category!B:B,"not found",0)</f>
        <v>Road Bikes</v>
      </c>
      <c r="H154" s="1">
        <f>(order_items!D154*order_items!E154)-order_items!F154</f>
        <v>599.93000000000006</v>
      </c>
    </row>
    <row r="155" spans="1:8" x14ac:dyDescent="0.25">
      <c r="A155">
        <v>154</v>
      </c>
      <c r="B155" t="s">
        <v>156</v>
      </c>
      <c r="C155">
        <v>9</v>
      </c>
      <c r="D155">
        <v>7</v>
      </c>
      <c r="E155">
        <v>2018</v>
      </c>
      <c r="F155">
        <v>5499.99</v>
      </c>
      <c r="G155" s="1" t="str">
        <f>_xlfn.XLOOKUP(D155,category!A:A,category!B:B,"not found",0)</f>
        <v>Road Bikes</v>
      </c>
      <c r="H155" s="1">
        <f>(order_items!D155*order_items!E155)-order_items!F155</f>
        <v>539.78</v>
      </c>
    </row>
    <row r="156" spans="1:8" x14ac:dyDescent="0.25">
      <c r="A156">
        <v>155</v>
      </c>
      <c r="B156" t="s">
        <v>157</v>
      </c>
      <c r="C156">
        <v>9</v>
      </c>
      <c r="D156">
        <v>7</v>
      </c>
      <c r="E156">
        <v>2018</v>
      </c>
      <c r="F156">
        <v>11999.99</v>
      </c>
      <c r="G156" s="1" t="str">
        <f>_xlfn.XLOOKUP(D156,category!A:A,category!B:B,"not found",0)</f>
        <v>Road Bikes</v>
      </c>
      <c r="H156" s="1">
        <f>(order_items!D156*order_items!E156)-order_items!F156</f>
        <v>999.88</v>
      </c>
    </row>
    <row r="157" spans="1:8" x14ac:dyDescent="0.25">
      <c r="A157">
        <v>156</v>
      </c>
      <c r="B157" t="s">
        <v>158</v>
      </c>
      <c r="C157">
        <v>9</v>
      </c>
      <c r="D157">
        <v>7</v>
      </c>
      <c r="E157">
        <v>2018</v>
      </c>
      <c r="F157">
        <v>6499.99</v>
      </c>
      <c r="G157" s="1" t="str">
        <f>_xlfn.XLOOKUP(D157,category!A:A,category!B:B,"not found",0)</f>
        <v>Road Bikes</v>
      </c>
      <c r="H157" s="1">
        <f>(order_items!D157*order_items!E157)-order_items!F157</f>
        <v>1199.78</v>
      </c>
    </row>
    <row r="158" spans="1:8" x14ac:dyDescent="0.25">
      <c r="A158">
        <v>157</v>
      </c>
      <c r="B158" t="s">
        <v>159</v>
      </c>
      <c r="C158">
        <v>9</v>
      </c>
      <c r="D158">
        <v>7</v>
      </c>
      <c r="E158">
        <v>2018</v>
      </c>
      <c r="F158">
        <v>6499.99</v>
      </c>
      <c r="G158" s="1" t="str">
        <f>_xlfn.XLOOKUP(D158,category!A:A,category!B:B,"not found",0)</f>
        <v>Road Bikes</v>
      </c>
      <c r="H158" s="1">
        <f>(order_items!D158*order_items!E158)-order_items!F158</f>
        <v>999.79</v>
      </c>
    </row>
    <row r="159" spans="1:8" x14ac:dyDescent="0.25">
      <c r="A159">
        <v>158</v>
      </c>
      <c r="B159" t="s">
        <v>160</v>
      </c>
      <c r="C159">
        <v>9</v>
      </c>
      <c r="D159">
        <v>7</v>
      </c>
      <c r="E159">
        <v>2018</v>
      </c>
      <c r="F159">
        <v>959.99</v>
      </c>
      <c r="G159" s="1" t="str">
        <f>_xlfn.XLOOKUP(D159,category!A:A,category!B:B,"not found",0)</f>
        <v>Road Bikes</v>
      </c>
      <c r="H159" s="1">
        <f>(order_items!D159*order_items!E159)-order_items!F159</f>
        <v>269.94</v>
      </c>
    </row>
    <row r="160" spans="1:8" x14ac:dyDescent="0.25">
      <c r="A160">
        <v>159</v>
      </c>
      <c r="B160" t="s">
        <v>161</v>
      </c>
      <c r="C160">
        <v>9</v>
      </c>
      <c r="D160">
        <v>7</v>
      </c>
      <c r="E160">
        <v>2018</v>
      </c>
      <c r="F160">
        <v>2299.9899999999998</v>
      </c>
      <c r="G160" s="1" t="str">
        <f>_xlfn.XLOOKUP(D160,category!A:A,category!B:B,"not found",0)</f>
        <v>Road Bikes</v>
      </c>
      <c r="H160" s="1">
        <f>(order_items!D160*order_items!E160)-order_items!F160</f>
        <v>999.78</v>
      </c>
    </row>
    <row r="161" spans="1:8" x14ac:dyDescent="0.25">
      <c r="A161">
        <v>160</v>
      </c>
      <c r="B161" t="s">
        <v>162</v>
      </c>
      <c r="C161">
        <v>9</v>
      </c>
      <c r="D161">
        <v>7</v>
      </c>
      <c r="E161">
        <v>2018</v>
      </c>
      <c r="F161">
        <v>4499.99</v>
      </c>
      <c r="G161" s="1" t="str">
        <f>_xlfn.XLOOKUP(D161,category!A:A,category!B:B,"not found",0)</f>
        <v>Road Bikes</v>
      </c>
      <c r="H161" s="1">
        <f>(order_items!D161*order_items!E161)-order_items!F161</f>
        <v>1059.78</v>
      </c>
    </row>
    <row r="162" spans="1:8" x14ac:dyDescent="0.25">
      <c r="A162">
        <v>161</v>
      </c>
      <c r="B162" t="s">
        <v>163</v>
      </c>
      <c r="C162">
        <v>8</v>
      </c>
      <c r="D162">
        <v>7</v>
      </c>
      <c r="E162">
        <v>2018</v>
      </c>
      <c r="F162">
        <v>1899</v>
      </c>
      <c r="G162" s="1" t="str">
        <f>_xlfn.XLOOKUP(D162,category!A:A,category!B:B,"not found",0)</f>
        <v>Road Bikes</v>
      </c>
      <c r="H162" s="1">
        <f>(order_items!D162*order_items!E162)-order_items!F162</f>
        <v>1199.9100000000001</v>
      </c>
    </row>
    <row r="163" spans="1:8" x14ac:dyDescent="0.25">
      <c r="A163">
        <v>162</v>
      </c>
      <c r="B163" t="s">
        <v>164</v>
      </c>
      <c r="C163">
        <v>9</v>
      </c>
      <c r="D163">
        <v>7</v>
      </c>
      <c r="E163">
        <v>2018</v>
      </c>
      <c r="F163">
        <v>2999.99</v>
      </c>
      <c r="G163" s="1" t="str">
        <f>_xlfn.XLOOKUP(D163,category!A:A,category!B:B,"not found",0)</f>
        <v>Road Bikes</v>
      </c>
      <c r="H163" s="1">
        <f>(order_items!D163*order_items!E163)-order_items!F163</f>
        <v>599.88</v>
      </c>
    </row>
    <row r="164" spans="1:8" x14ac:dyDescent="0.25">
      <c r="A164">
        <v>163</v>
      </c>
      <c r="B164" t="s">
        <v>165</v>
      </c>
      <c r="C164">
        <v>8</v>
      </c>
      <c r="D164">
        <v>7</v>
      </c>
      <c r="E164">
        <v>2018</v>
      </c>
      <c r="F164">
        <v>1349</v>
      </c>
      <c r="G164" s="1" t="str">
        <f>_xlfn.XLOOKUP(D164,category!A:A,category!B:B,"not found",0)</f>
        <v>Road Bikes</v>
      </c>
      <c r="H164" s="1">
        <f>(order_items!D164*order_items!E164)-order_items!F164</f>
        <v>897.8</v>
      </c>
    </row>
    <row r="165" spans="1:8" x14ac:dyDescent="0.25">
      <c r="A165">
        <v>164</v>
      </c>
      <c r="B165" t="s">
        <v>166</v>
      </c>
      <c r="C165">
        <v>8</v>
      </c>
      <c r="D165">
        <v>7</v>
      </c>
      <c r="E165">
        <v>2018</v>
      </c>
      <c r="F165">
        <v>1549</v>
      </c>
      <c r="G165" s="1" t="str">
        <f>_xlfn.XLOOKUP(D165,category!A:A,category!B:B,"not found",0)</f>
        <v>Road Bikes</v>
      </c>
      <c r="H165" s="1">
        <f>(order_items!D165*order_items!E165)-order_items!F165</f>
        <v>269.92</v>
      </c>
    </row>
    <row r="166" spans="1:8" x14ac:dyDescent="0.25">
      <c r="A166">
        <v>165</v>
      </c>
      <c r="B166" t="s">
        <v>167</v>
      </c>
      <c r="C166">
        <v>9</v>
      </c>
      <c r="D166">
        <v>7</v>
      </c>
      <c r="E166">
        <v>2018</v>
      </c>
      <c r="F166">
        <v>2499.9899999999998</v>
      </c>
      <c r="G166" s="1" t="str">
        <f>_xlfn.XLOOKUP(D166,category!A:A,category!B:B,"not found",0)</f>
        <v>Road Bikes</v>
      </c>
      <c r="H166" s="1">
        <f>(order_items!D166*order_items!E166)-order_items!F166</f>
        <v>539.93000000000006</v>
      </c>
    </row>
    <row r="167" spans="1:8" x14ac:dyDescent="0.25">
      <c r="A167">
        <v>166</v>
      </c>
      <c r="B167" t="s">
        <v>168</v>
      </c>
      <c r="C167">
        <v>9</v>
      </c>
      <c r="D167">
        <v>7</v>
      </c>
      <c r="E167">
        <v>2018</v>
      </c>
      <c r="F167">
        <v>749.99</v>
      </c>
      <c r="G167" s="1" t="str">
        <f>_xlfn.XLOOKUP(D167,category!A:A,category!B:B,"not found",0)</f>
        <v>Road Bikes</v>
      </c>
      <c r="H167" s="1">
        <f>(order_items!D167*order_items!E167)-order_items!F167</f>
        <v>448.93</v>
      </c>
    </row>
    <row r="168" spans="1:8" x14ac:dyDescent="0.25">
      <c r="A168">
        <v>167</v>
      </c>
      <c r="B168" t="s">
        <v>169</v>
      </c>
      <c r="C168">
        <v>8</v>
      </c>
      <c r="D168">
        <v>7</v>
      </c>
      <c r="E168">
        <v>2018</v>
      </c>
      <c r="F168">
        <v>749.99</v>
      </c>
      <c r="G168" s="1" t="str">
        <f>_xlfn.XLOOKUP(D168,category!A:A,category!B:B,"not found",0)</f>
        <v>Road Bikes</v>
      </c>
      <c r="H168" s="1">
        <f>(order_items!D168*order_items!E168)-order_items!F168</f>
        <v>299.89</v>
      </c>
    </row>
    <row r="169" spans="1:8" x14ac:dyDescent="0.25">
      <c r="A169">
        <v>168</v>
      </c>
      <c r="B169" t="s">
        <v>170</v>
      </c>
      <c r="C169">
        <v>8</v>
      </c>
      <c r="D169">
        <v>7</v>
      </c>
      <c r="E169">
        <v>2018</v>
      </c>
      <c r="F169">
        <v>1549</v>
      </c>
      <c r="G169" s="1" t="str">
        <f>_xlfn.XLOOKUP(D169,category!A:A,category!B:B,"not found",0)</f>
        <v>Road Bikes</v>
      </c>
      <c r="H169" s="1">
        <f>(order_items!D169*order_items!E169)-order_items!F169</f>
        <v>269.94</v>
      </c>
    </row>
    <row r="170" spans="1:8" x14ac:dyDescent="0.25">
      <c r="A170">
        <v>169</v>
      </c>
      <c r="B170" t="s">
        <v>171</v>
      </c>
      <c r="C170">
        <v>9</v>
      </c>
      <c r="D170">
        <v>7</v>
      </c>
      <c r="E170">
        <v>2018</v>
      </c>
      <c r="F170">
        <v>6499.99</v>
      </c>
      <c r="G170" s="1" t="str">
        <f>_xlfn.XLOOKUP(D170,category!A:A,category!B:B,"not found",0)</f>
        <v>Road Bikes</v>
      </c>
      <c r="H170" s="1">
        <f>(order_items!D170*order_items!E170)-order_items!F170</f>
        <v>749.89</v>
      </c>
    </row>
    <row r="171" spans="1:8" x14ac:dyDescent="0.25">
      <c r="A171">
        <v>170</v>
      </c>
      <c r="B171" t="s">
        <v>172</v>
      </c>
      <c r="C171">
        <v>9</v>
      </c>
      <c r="D171">
        <v>7</v>
      </c>
      <c r="E171">
        <v>2018</v>
      </c>
      <c r="F171">
        <v>1299.99</v>
      </c>
      <c r="G171" s="1" t="str">
        <f>_xlfn.XLOOKUP(D171,category!A:A,category!B:B,"not found",0)</f>
        <v>Road Bikes</v>
      </c>
      <c r="H171" s="1">
        <f>(order_items!D171*order_items!E171)-order_items!F171</f>
        <v>857.9</v>
      </c>
    </row>
    <row r="172" spans="1:8" x14ac:dyDescent="0.25">
      <c r="A172">
        <v>171</v>
      </c>
      <c r="B172" t="s">
        <v>173</v>
      </c>
      <c r="C172">
        <v>9</v>
      </c>
      <c r="D172">
        <v>7</v>
      </c>
      <c r="E172">
        <v>2018</v>
      </c>
      <c r="F172">
        <v>3199.99</v>
      </c>
      <c r="G172" s="1" t="str">
        <f>_xlfn.XLOOKUP(D172,category!A:A,category!B:B,"not found",0)</f>
        <v>Road Bikes</v>
      </c>
      <c r="H172" s="1">
        <f>(order_items!D172*order_items!E172)-order_items!F172</f>
        <v>539.93000000000006</v>
      </c>
    </row>
    <row r="173" spans="1:8" x14ac:dyDescent="0.25">
      <c r="A173">
        <v>172</v>
      </c>
      <c r="B173" t="s">
        <v>174</v>
      </c>
      <c r="C173">
        <v>9</v>
      </c>
      <c r="D173">
        <v>7</v>
      </c>
      <c r="E173">
        <v>2018</v>
      </c>
      <c r="F173">
        <v>3199.99</v>
      </c>
      <c r="G173" s="1" t="str">
        <f>_xlfn.XLOOKUP(D173,category!A:A,category!B:B,"not found",0)</f>
        <v>Road Bikes</v>
      </c>
      <c r="H173" s="1">
        <f>(order_items!D173*order_items!E173)-order_items!F173</f>
        <v>2899.89</v>
      </c>
    </row>
    <row r="174" spans="1:8" x14ac:dyDescent="0.25">
      <c r="A174">
        <v>173</v>
      </c>
      <c r="B174" t="s">
        <v>175</v>
      </c>
      <c r="C174">
        <v>9</v>
      </c>
      <c r="D174">
        <v>7</v>
      </c>
      <c r="E174">
        <v>2018</v>
      </c>
      <c r="F174">
        <v>3199.99</v>
      </c>
      <c r="G174" s="1" t="str">
        <f>_xlfn.XLOOKUP(D174,category!A:A,category!B:B,"not found",0)</f>
        <v>Road Bikes</v>
      </c>
      <c r="H174" s="1">
        <f>(order_items!D174*order_items!E174)-order_items!F174</f>
        <v>529.91999999999996</v>
      </c>
    </row>
    <row r="175" spans="1:8" x14ac:dyDescent="0.25">
      <c r="A175">
        <v>174</v>
      </c>
      <c r="B175" t="s">
        <v>176</v>
      </c>
      <c r="C175">
        <v>9</v>
      </c>
      <c r="D175">
        <v>7</v>
      </c>
      <c r="E175">
        <v>2018</v>
      </c>
      <c r="F175">
        <v>3199.99</v>
      </c>
      <c r="G175" s="1" t="str">
        <f>_xlfn.XLOOKUP(D175,category!A:A,category!B:B,"not found",0)</f>
        <v>Road Bikes</v>
      </c>
      <c r="H175" s="1">
        <f>(order_items!D175*order_items!E175)-order_items!F175</f>
        <v>269.79000000000002</v>
      </c>
    </row>
    <row r="176" spans="1:8" x14ac:dyDescent="0.25">
      <c r="A176">
        <v>175</v>
      </c>
      <c r="B176" t="s">
        <v>177</v>
      </c>
      <c r="C176">
        <v>9</v>
      </c>
      <c r="D176">
        <v>7</v>
      </c>
      <c r="E176">
        <v>2018</v>
      </c>
      <c r="F176">
        <v>3199.99</v>
      </c>
      <c r="G176" s="1" t="str">
        <f>_xlfn.XLOOKUP(D176,category!A:A,category!B:B,"not found",0)</f>
        <v>Road Bikes</v>
      </c>
      <c r="H176" s="1">
        <f>(order_items!D176*order_items!E176)-order_items!F176</f>
        <v>499.89</v>
      </c>
    </row>
    <row r="177" spans="1:8" x14ac:dyDescent="0.25">
      <c r="A177">
        <v>176</v>
      </c>
      <c r="B177" t="s">
        <v>178</v>
      </c>
      <c r="C177">
        <v>9</v>
      </c>
      <c r="D177">
        <v>7</v>
      </c>
      <c r="E177">
        <v>2018</v>
      </c>
      <c r="F177">
        <v>3199.99</v>
      </c>
      <c r="G177" s="1" t="str">
        <f>_xlfn.XLOOKUP(D177,category!A:A,category!B:B,"not found",0)</f>
        <v>Road Bikes</v>
      </c>
      <c r="H177" s="1">
        <f>(order_items!D177*order_items!E177)-order_items!F177</f>
        <v>1059.93</v>
      </c>
    </row>
    <row r="178" spans="1:8" x14ac:dyDescent="0.25">
      <c r="A178">
        <v>177</v>
      </c>
      <c r="B178" t="s">
        <v>179</v>
      </c>
      <c r="C178">
        <v>9</v>
      </c>
      <c r="D178">
        <v>7</v>
      </c>
      <c r="E178">
        <v>2018</v>
      </c>
      <c r="F178">
        <v>5499.99</v>
      </c>
      <c r="G178" s="1" t="str">
        <f>_xlfn.XLOOKUP(D178,category!A:A,category!B:B,"not found",0)</f>
        <v>Road Bikes</v>
      </c>
      <c r="H178" s="1">
        <f>(order_items!D178*order_items!E178)-order_items!F178</f>
        <v>2641.78</v>
      </c>
    </row>
    <row r="179" spans="1:8" x14ac:dyDescent="0.25">
      <c r="A179">
        <v>178</v>
      </c>
      <c r="B179" t="s">
        <v>180</v>
      </c>
      <c r="C179">
        <v>9</v>
      </c>
      <c r="D179">
        <v>7</v>
      </c>
      <c r="E179">
        <v>2018</v>
      </c>
      <c r="F179">
        <v>749.99</v>
      </c>
      <c r="G179" s="1" t="str">
        <f>_xlfn.XLOOKUP(D179,category!A:A,category!B:B,"not found",0)</f>
        <v>Road Bikes</v>
      </c>
      <c r="H179" s="1">
        <f>(order_items!D179*order_items!E179)-order_items!F179</f>
        <v>269.92</v>
      </c>
    </row>
    <row r="180" spans="1:8" x14ac:dyDescent="0.25">
      <c r="A180">
        <v>179</v>
      </c>
      <c r="B180" t="s">
        <v>181</v>
      </c>
      <c r="C180">
        <v>9</v>
      </c>
      <c r="D180">
        <v>7</v>
      </c>
      <c r="E180">
        <v>2018</v>
      </c>
      <c r="F180">
        <v>919.99</v>
      </c>
      <c r="G180" s="1" t="str">
        <f>_xlfn.XLOOKUP(D180,category!A:A,category!B:B,"not found",0)</f>
        <v>Road Bikes</v>
      </c>
      <c r="H180" s="1">
        <f>(order_items!D180*order_items!E180)-order_items!F180</f>
        <v>3599.88</v>
      </c>
    </row>
    <row r="181" spans="1:8" x14ac:dyDescent="0.25">
      <c r="A181">
        <v>180</v>
      </c>
      <c r="B181" t="s">
        <v>182</v>
      </c>
      <c r="C181">
        <v>9</v>
      </c>
      <c r="D181">
        <v>7</v>
      </c>
      <c r="E181">
        <v>2018</v>
      </c>
      <c r="F181">
        <v>919.99</v>
      </c>
      <c r="G181" s="1" t="str">
        <f>_xlfn.XLOOKUP(D181,category!A:A,category!B:B,"not found",0)</f>
        <v>Road Bikes</v>
      </c>
      <c r="H181" s="1">
        <f>(order_items!D181*order_items!E181)-order_items!F181</f>
        <v>539.88</v>
      </c>
    </row>
    <row r="182" spans="1:8" x14ac:dyDescent="0.25">
      <c r="A182">
        <v>181</v>
      </c>
      <c r="B182" t="s">
        <v>183</v>
      </c>
      <c r="C182">
        <v>9</v>
      </c>
      <c r="D182">
        <v>7</v>
      </c>
      <c r="E182">
        <v>2018</v>
      </c>
      <c r="F182">
        <v>2199.9899999999998</v>
      </c>
      <c r="G182" s="1" t="str">
        <f>_xlfn.XLOOKUP(D182,category!A:A,category!B:B,"not found",0)</f>
        <v>Road Bikes</v>
      </c>
      <c r="H182" s="1">
        <f>(order_items!D182*order_items!E182)-order_items!F182</f>
        <v>999.88</v>
      </c>
    </row>
    <row r="183" spans="1:8" x14ac:dyDescent="0.25">
      <c r="A183">
        <v>182</v>
      </c>
      <c r="B183" t="s">
        <v>184</v>
      </c>
      <c r="C183">
        <v>9</v>
      </c>
      <c r="D183">
        <v>7</v>
      </c>
      <c r="E183">
        <v>2018</v>
      </c>
      <c r="F183">
        <v>2499.9899999999998</v>
      </c>
      <c r="G183" s="1" t="str">
        <f>_xlfn.XLOOKUP(D183,category!A:A,category!B:B,"not found",0)</f>
        <v>Road Bikes</v>
      </c>
      <c r="H183" s="1">
        <f>(order_items!D183*order_items!E183)-order_items!F183</f>
        <v>897.95</v>
      </c>
    </row>
    <row r="184" spans="1:8" x14ac:dyDescent="0.25">
      <c r="A184">
        <v>183</v>
      </c>
      <c r="B184" t="s">
        <v>185</v>
      </c>
      <c r="C184">
        <v>9</v>
      </c>
      <c r="D184">
        <v>7</v>
      </c>
      <c r="E184">
        <v>2018</v>
      </c>
      <c r="F184">
        <v>2199.9899999999998</v>
      </c>
      <c r="G184" s="1" t="str">
        <f>_xlfn.XLOOKUP(D184,category!A:A,category!B:B,"not found",0)</f>
        <v>Road Bikes</v>
      </c>
      <c r="H184" s="1">
        <f>(order_items!D184*order_items!E184)-order_items!F184</f>
        <v>999.89</v>
      </c>
    </row>
    <row r="185" spans="1:8" x14ac:dyDescent="0.25">
      <c r="A185">
        <v>184</v>
      </c>
      <c r="B185" t="s">
        <v>186</v>
      </c>
      <c r="C185">
        <v>9</v>
      </c>
      <c r="D185">
        <v>7</v>
      </c>
      <c r="E185">
        <v>2018</v>
      </c>
      <c r="F185">
        <v>3499.99</v>
      </c>
      <c r="G185" s="1" t="str">
        <f>_xlfn.XLOOKUP(D185,category!A:A,category!B:B,"not found",0)</f>
        <v>Road Bikes</v>
      </c>
      <c r="H185" s="1">
        <f>(order_items!D185*order_items!E185)-order_items!F185</f>
        <v>999.88</v>
      </c>
    </row>
    <row r="186" spans="1:8" x14ac:dyDescent="0.25">
      <c r="A186">
        <v>185</v>
      </c>
      <c r="B186" t="s">
        <v>187</v>
      </c>
      <c r="C186">
        <v>9</v>
      </c>
      <c r="D186">
        <v>5</v>
      </c>
      <c r="E186">
        <v>2018</v>
      </c>
      <c r="F186">
        <v>2799.99</v>
      </c>
      <c r="G186" s="1" t="str">
        <f>_xlfn.XLOOKUP(D186,category!A:A,category!B:B,"not found",0)</f>
        <v>Electric Bikes</v>
      </c>
      <c r="H186" s="1">
        <f>(order_items!D186*order_items!E186)-order_items!F186</f>
        <v>539.78</v>
      </c>
    </row>
    <row r="187" spans="1:8" x14ac:dyDescent="0.25">
      <c r="A187">
        <v>186</v>
      </c>
      <c r="B187" t="s">
        <v>188</v>
      </c>
      <c r="C187">
        <v>9</v>
      </c>
      <c r="D187">
        <v>5</v>
      </c>
      <c r="E187">
        <v>2018</v>
      </c>
      <c r="F187">
        <v>4499.99</v>
      </c>
      <c r="G187" s="1" t="str">
        <f>_xlfn.XLOOKUP(D187,category!A:A,category!B:B,"not found",0)</f>
        <v>Electric Bikes</v>
      </c>
      <c r="H187" s="1">
        <f>(order_items!D187*order_items!E187)-order_items!F187</f>
        <v>599.78</v>
      </c>
    </row>
    <row r="188" spans="1:8" x14ac:dyDescent="0.25">
      <c r="A188">
        <v>187</v>
      </c>
      <c r="B188" t="s">
        <v>189</v>
      </c>
      <c r="C188">
        <v>9</v>
      </c>
      <c r="D188">
        <v>5</v>
      </c>
      <c r="E188">
        <v>2018</v>
      </c>
      <c r="F188">
        <v>2799.99</v>
      </c>
      <c r="G188" s="1" t="str">
        <f>_xlfn.XLOOKUP(D188,category!A:A,category!B:B,"not found",0)</f>
        <v>Electric Bikes</v>
      </c>
      <c r="H188" s="1">
        <f>(order_items!D188*order_items!E188)-order_items!F188</f>
        <v>1099.8800000000001</v>
      </c>
    </row>
    <row r="189" spans="1:8" x14ac:dyDescent="0.25">
      <c r="A189">
        <v>188</v>
      </c>
      <c r="B189" t="s">
        <v>190</v>
      </c>
      <c r="C189">
        <v>9</v>
      </c>
      <c r="D189">
        <v>5</v>
      </c>
      <c r="E189">
        <v>2018</v>
      </c>
      <c r="F189">
        <v>3499.99</v>
      </c>
      <c r="G189" s="1" t="str">
        <f>_xlfn.XLOOKUP(D189,category!A:A,category!B:B,"not found",0)</f>
        <v>Electric Bikes</v>
      </c>
      <c r="H189" s="1">
        <f>(order_items!D189*order_items!E189)-order_items!F189</f>
        <v>549.89</v>
      </c>
    </row>
    <row r="190" spans="1:8" x14ac:dyDescent="0.25">
      <c r="A190">
        <v>189</v>
      </c>
      <c r="B190" t="s">
        <v>191</v>
      </c>
      <c r="C190">
        <v>9</v>
      </c>
      <c r="D190">
        <v>5</v>
      </c>
      <c r="E190">
        <v>2018</v>
      </c>
      <c r="F190">
        <v>2799.99</v>
      </c>
      <c r="G190" s="1" t="str">
        <f>_xlfn.XLOOKUP(D190,category!A:A,category!B:B,"not found",0)</f>
        <v>Electric Bikes</v>
      </c>
      <c r="H190" s="1">
        <f>(order_items!D190*order_items!E190)-order_items!F190</f>
        <v>749.79</v>
      </c>
    </row>
    <row r="191" spans="1:8" x14ac:dyDescent="0.25">
      <c r="A191">
        <v>190</v>
      </c>
      <c r="B191" t="s">
        <v>192</v>
      </c>
      <c r="C191">
        <v>9</v>
      </c>
      <c r="D191">
        <v>5</v>
      </c>
      <c r="E191">
        <v>2018</v>
      </c>
      <c r="F191">
        <v>2799.99</v>
      </c>
      <c r="G191" s="1" t="str">
        <f>_xlfn.XLOOKUP(D191,category!A:A,category!B:B,"not found",0)</f>
        <v>Electric Bikes</v>
      </c>
      <c r="H191" s="1">
        <f>(order_items!D191*order_items!E191)-order_items!F191</f>
        <v>299.92</v>
      </c>
    </row>
    <row r="192" spans="1:8" x14ac:dyDescent="0.25">
      <c r="A192">
        <v>191</v>
      </c>
      <c r="B192" t="s">
        <v>193</v>
      </c>
      <c r="C192">
        <v>1</v>
      </c>
      <c r="D192">
        <v>5</v>
      </c>
      <c r="E192">
        <v>2018</v>
      </c>
      <c r="F192">
        <v>2799.99</v>
      </c>
      <c r="G192" s="1" t="str">
        <f>_xlfn.XLOOKUP(D192,category!A:A,category!B:B,"not found",0)</f>
        <v>Electric Bikes</v>
      </c>
      <c r="H192" s="1">
        <f>(order_items!D192*order_items!E192)-order_items!F192</f>
        <v>549.91999999999996</v>
      </c>
    </row>
    <row r="193" spans="1:8" x14ac:dyDescent="0.25">
      <c r="A193">
        <v>192</v>
      </c>
      <c r="B193" t="s">
        <v>194</v>
      </c>
      <c r="C193">
        <v>1</v>
      </c>
      <c r="D193">
        <v>5</v>
      </c>
      <c r="E193">
        <v>2018</v>
      </c>
      <c r="F193">
        <v>2599.9899999999998</v>
      </c>
      <c r="G193" s="1" t="str">
        <f>_xlfn.XLOOKUP(D193,category!A:A,category!B:B,"not found",0)</f>
        <v>Electric Bikes</v>
      </c>
      <c r="H193" s="1">
        <f>(order_items!D193*order_items!E193)-order_items!F193</f>
        <v>599.78</v>
      </c>
    </row>
    <row r="194" spans="1:8" x14ac:dyDescent="0.25">
      <c r="A194">
        <v>193</v>
      </c>
      <c r="B194" t="s">
        <v>195</v>
      </c>
      <c r="C194">
        <v>9</v>
      </c>
      <c r="D194">
        <v>5</v>
      </c>
      <c r="E194">
        <v>2018</v>
      </c>
      <c r="F194">
        <v>2799.99</v>
      </c>
      <c r="G194" s="1" t="str">
        <f>_xlfn.XLOOKUP(D194,category!A:A,category!B:B,"not found",0)</f>
        <v>Electric Bikes</v>
      </c>
      <c r="H194" s="1">
        <f>(order_items!D194*order_items!E194)-order_items!F194</f>
        <v>1099.8800000000001</v>
      </c>
    </row>
    <row r="195" spans="1:8" x14ac:dyDescent="0.25">
      <c r="A195">
        <v>194</v>
      </c>
      <c r="B195" t="s">
        <v>196</v>
      </c>
      <c r="C195">
        <v>9</v>
      </c>
      <c r="D195">
        <v>5</v>
      </c>
      <c r="E195">
        <v>2018</v>
      </c>
      <c r="F195">
        <v>3499.99</v>
      </c>
      <c r="G195" s="1" t="str">
        <f>_xlfn.XLOOKUP(D195,category!A:A,category!B:B,"not found",0)</f>
        <v>Electric Bikes</v>
      </c>
      <c r="H195" s="1">
        <f>(order_items!D195*order_items!E195)-order_items!F195</f>
        <v>269.79000000000002</v>
      </c>
    </row>
    <row r="196" spans="1:8" x14ac:dyDescent="0.25">
      <c r="A196">
        <v>195</v>
      </c>
      <c r="B196" t="s">
        <v>197</v>
      </c>
      <c r="C196">
        <v>1</v>
      </c>
      <c r="D196">
        <v>5</v>
      </c>
      <c r="E196">
        <v>2018</v>
      </c>
      <c r="F196">
        <v>2599.9899999999998</v>
      </c>
      <c r="G196" s="1" t="str">
        <f>_xlfn.XLOOKUP(D196,category!A:A,category!B:B,"not found",0)</f>
        <v>Electric Bikes</v>
      </c>
      <c r="H196" s="1">
        <f>(order_items!D196*order_items!E196)-order_items!F196</f>
        <v>2641.88</v>
      </c>
    </row>
    <row r="197" spans="1:8" x14ac:dyDescent="0.25">
      <c r="A197">
        <v>196</v>
      </c>
      <c r="B197" t="s">
        <v>198</v>
      </c>
      <c r="C197">
        <v>9</v>
      </c>
      <c r="D197">
        <v>5</v>
      </c>
      <c r="E197">
        <v>2018</v>
      </c>
      <c r="F197">
        <v>2299.9899999999998</v>
      </c>
      <c r="G197" s="1" t="str">
        <f>_xlfn.XLOOKUP(D197,category!A:A,category!B:B,"not found",0)</f>
        <v>Electric Bikes</v>
      </c>
      <c r="H197" s="1">
        <f>(order_items!D197*order_items!E197)-order_items!F197</f>
        <v>448.8</v>
      </c>
    </row>
    <row r="198" spans="1:8" x14ac:dyDescent="0.25">
      <c r="A198">
        <v>197</v>
      </c>
      <c r="B198" t="s">
        <v>199</v>
      </c>
      <c r="C198">
        <v>9</v>
      </c>
      <c r="D198">
        <v>5</v>
      </c>
      <c r="E198">
        <v>2018</v>
      </c>
      <c r="F198">
        <v>2299.9899999999998</v>
      </c>
      <c r="G198" s="1" t="str">
        <f>_xlfn.XLOOKUP(D198,category!A:A,category!B:B,"not found",0)</f>
        <v>Electric Bikes</v>
      </c>
      <c r="H198" s="1">
        <f>(order_items!D198*order_items!E198)-order_items!F198</f>
        <v>539.91</v>
      </c>
    </row>
    <row r="199" spans="1:8" x14ac:dyDescent="0.25">
      <c r="A199">
        <v>198</v>
      </c>
      <c r="B199" t="s">
        <v>200</v>
      </c>
      <c r="C199">
        <v>1</v>
      </c>
      <c r="D199">
        <v>5</v>
      </c>
      <c r="E199">
        <v>2018</v>
      </c>
      <c r="F199">
        <v>2999.99</v>
      </c>
      <c r="G199" s="1" t="str">
        <f>_xlfn.XLOOKUP(D199,category!A:A,category!B:B,"not found",0)</f>
        <v>Electric Bikes</v>
      </c>
      <c r="H199" s="1">
        <f>(order_items!D199*order_items!E199)-order_items!F199</f>
        <v>428.9</v>
      </c>
    </row>
    <row r="200" spans="1:8" x14ac:dyDescent="0.25">
      <c r="A200">
        <v>199</v>
      </c>
      <c r="B200" t="s">
        <v>201</v>
      </c>
      <c r="C200">
        <v>1</v>
      </c>
      <c r="D200">
        <v>5</v>
      </c>
      <c r="E200">
        <v>2018</v>
      </c>
      <c r="F200">
        <v>2999.99</v>
      </c>
      <c r="G200" s="1" t="str">
        <f>_xlfn.XLOOKUP(D200,category!A:A,category!B:B,"not found",0)</f>
        <v>Electric Bikes</v>
      </c>
      <c r="H200" s="1">
        <f>(order_items!D200*order_items!E200)-order_items!F200</f>
        <v>539.88</v>
      </c>
    </row>
    <row r="201" spans="1:8" x14ac:dyDescent="0.25">
      <c r="A201">
        <v>200</v>
      </c>
      <c r="B201" t="s">
        <v>202</v>
      </c>
      <c r="C201">
        <v>9</v>
      </c>
      <c r="D201">
        <v>5</v>
      </c>
      <c r="E201">
        <v>2018</v>
      </c>
      <c r="F201">
        <v>3499.99</v>
      </c>
      <c r="G201" s="1" t="str">
        <f>_xlfn.XLOOKUP(D201,category!A:A,category!B:B,"not found",0)</f>
        <v>Electric Bikes</v>
      </c>
      <c r="H201" s="1">
        <f>(order_items!D201*order_items!E201)-order_items!F201</f>
        <v>1320.79</v>
      </c>
    </row>
    <row r="202" spans="1:8" x14ac:dyDescent="0.25">
      <c r="A202">
        <v>201</v>
      </c>
      <c r="B202" t="s">
        <v>203</v>
      </c>
      <c r="C202">
        <v>9</v>
      </c>
      <c r="D202">
        <v>5</v>
      </c>
      <c r="E202">
        <v>2018</v>
      </c>
      <c r="F202">
        <v>4499.99</v>
      </c>
      <c r="G202" s="1" t="str">
        <f>_xlfn.XLOOKUP(D202,category!A:A,category!B:B,"not found",0)</f>
        <v>Electric Bikes</v>
      </c>
      <c r="H202" s="1">
        <f>(order_items!D202*order_items!E202)-order_items!F202</f>
        <v>1548.95</v>
      </c>
    </row>
    <row r="203" spans="1:8" x14ac:dyDescent="0.25">
      <c r="A203">
        <v>202</v>
      </c>
      <c r="B203" t="s">
        <v>204</v>
      </c>
      <c r="C203">
        <v>9</v>
      </c>
      <c r="D203">
        <v>5</v>
      </c>
      <c r="E203">
        <v>2018</v>
      </c>
      <c r="F203">
        <v>3499.99</v>
      </c>
      <c r="G203" s="1" t="str">
        <f>_xlfn.XLOOKUP(D203,category!A:A,category!B:B,"not found",0)</f>
        <v>Electric Bikes</v>
      </c>
      <c r="H203" s="1">
        <f>(order_items!D203*order_items!E203)-order_items!F203</f>
        <v>1999.93</v>
      </c>
    </row>
    <row r="204" spans="1:8" x14ac:dyDescent="0.25">
      <c r="A204">
        <v>203</v>
      </c>
      <c r="B204" t="s">
        <v>205</v>
      </c>
      <c r="C204">
        <v>9</v>
      </c>
      <c r="D204">
        <v>5</v>
      </c>
      <c r="E204">
        <v>2018</v>
      </c>
      <c r="F204">
        <v>4999.99</v>
      </c>
      <c r="G204" s="1" t="str">
        <f>_xlfn.XLOOKUP(D204,category!A:A,category!B:B,"not found",0)</f>
        <v>Electric Bikes</v>
      </c>
      <c r="H204" s="1">
        <f>(order_items!D204*order_items!E204)-order_items!F204</f>
        <v>448.8</v>
      </c>
    </row>
    <row r="205" spans="1:8" x14ac:dyDescent="0.25">
      <c r="A205">
        <v>204</v>
      </c>
      <c r="B205" t="s">
        <v>206</v>
      </c>
      <c r="C205">
        <v>9</v>
      </c>
      <c r="D205">
        <v>5</v>
      </c>
      <c r="E205">
        <v>2018</v>
      </c>
      <c r="F205">
        <v>3599.99</v>
      </c>
      <c r="G205" s="1" t="str">
        <f>_xlfn.XLOOKUP(D205,category!A:A,category!B:B,"not found",0)</f>
        <v>Electric Bikes</v>
      </c>
      <c r="H205" s="1">
        <f>(order_items!D205*order_items!E205)-order_items!F205</f>
        <v>599.94000000000005</v>
      </c>
    </row>
    <row r="206" spans="1:8" x14ac:dyDescent="0.25">
      <c r="A206">
        <v>205</v>
      </c>
      <c r="B206" t="s">
        <v>207</v>
      </c>
      <c r="C206">
        <v>9</v>
      </c>
      <c r="D206">
        <v>5</v>
      </c>
      <c r="E206">
        <v>2018</v>
      </c>
      <c r="F206">
        <v>4999.99</v>
      </c>
      <c r="G206" s="1" t="str">
        <f>_xlfn.XLOOKUP(D206,category!A:A,category!B:B,"not found",0)</f>
        <v>Electric Bikes</v>
      </c>
      <c r="H206" s="1">
        <f>(order_items!D206*order_items!E206)-order_items!F206</f>
        <v>1199.93</v>
      </c>
    </row>
    <row r="207" spans="1:8" x14ac:dyDescent="0.25">
      <c r="A207">
        <v>206</v>
      </c>
      <c r="B207" t="s">
        <v>208</v>
      </c>
      <c r="C207">
        <v>9</v>
      </c>
      <c r="D207">
        <v>4</v>
      </c>
      <c r="E207">
        <v>2018</v>
      </c>
      <c r="F207">
        <v>3299.99</v>
      </c>
      <c r="G207" s="1" t="str">
        <f>_xlfn.XLOOKUP(D207,category!A:A,category!B:B,"not found",0)</f>
        <v>Cyclocross Bicycles</v>
      </c>
      <c r="H207" s="1">
        <f>(order_items!D207*order_items!E207)-order_items!F207</f>
        <v>549.79</v>
      </c>
    </row>
    <row r="208" spans="1:8" x14ac:dyDescent="0.25">
      <c r="A208">
        <v>207</v>
      </c>
      <c r="B208" t="s">
        <v>209</v>
      </c>
      <c r="C208">
        <v>9</v>
      </c>
      <c r="D208">
        <v>4</v>
      </c>
      <c r="E208">
        <v>2018</v>
      </c>
      <c r="F208">
        <v>3999.99</v>
      </c>
      <c r="G208" s="1" t="str">
        <f>_xlfn.XLOOKUP(D208,category!A:A,category!B:B,"not found",0)</f>
        <v>Cyclocross Bicycles</v>
      </c>
      <c r="H208" s="1">
        <f>(order_items!D208*order_items!E208)-order_items!F208</f>
        <v>448.9</v>
      </c>
    </row>
    <row r="209" spans="1:8" x14ac:dyDescent="0.25">
      <c r="A209">
        <v>208</v>
      </c>
      <c r="B209" t="s">
        <v>210</v>
      </c>
      <c r="C209">
        <v>9</v>
      </c>
      <c r="D209">
        <v>4</v>
      </c>
      <c r="E209">
        <v>2018</v>
      </c>
      <c r="F209">
        <v>1799.99</v>
      </c>
      <c r="G209" s="1" t="str">
        <f>_xlfn.XLOOKUP(D209,category!A:A,category!B:B,"not found",0)</f>
        <v>Cyclocross Bicycles</v>
      </c>
      <c r="H209" s="1">
        <f>(order_items!D209*order_items!E209)-order_items!F209</f>
        <v>857.93</v>
      </c>
    </row>
    <row r="210" spans="1:8" x14ac:dyDescent="0.25">
      <c r="A210">
        <v>209</v>
      </c>
      <c r="B210" t="s">
        <v>211</v>
      </c>
      <c r="C210">
        <v>9</v>
      </c>
      <c r="D210">
        <v>4</v>
      </c>
      <c r="E210">
        <v>2018</v>
      </c>
      <c r="F210">
        <v>2999.99</v>
      </c>
      <c r="G210" s="1" t="str">
        <f>_xlfn.XLOOKUP(D210,category!A:A,category!B:B,"not found",0)</f>
        <v>Cyclocross Bicycles</v>
      </c>
      <c r="H210" s="1">
        <f>(order_items!D210*order_items!E210)-order_items!F210</f>
        <v>549.94000000000005</v>
      </c>
    </row>
    <row r="211" spans="1:8" x14ac:dyDescent="0.25">
      <c r="A211">
        <v>210</v>
      </c>
      <c r="B211" t="s">
        <v>170</v>
      </c>
      <c r="C211">
        <v>8</v>
      </c>
      <c r="D211">
        <v>4</v>
      </c>
      <c r="E211">
        <v>2018</v>
      </c>
      <c r="F211">
        <v>1549</v>
      </c>
      <c r="G211" s="1" t="str">
        <f>_xlfn.XLOOKUP(D211,category!A:A,category!B:B,"not found",0)</f>
        <v>Cyclocross Bicycles</v>
      </c>
      <c r="H211" s="1">
        <f>(order_items!D211*order_items!E211)-order_items!F211</f>
        <v>539.88</v>
      </c>
    </row>
    <row r="212" spans="1:8" x14ac:dyDescent="0.25">
      <c r="A212">
        <v>211</v>
      </c>
      <c r="B212" t="s">
        <v>166</v>
      </c>
      <c r="C212">
        <v>8</v>
      </c>
      <c r="D212">
        <v>4</v>
      </c>
      <c r="E212">
        <v>2018</v>
      </c>
      <c r="F212">
        <v>1549</v>
      </c>
      <c r="G212" s="1" t="str">
        <f>_xlfn.XLOOKUP(D212,category!A:A,category!B:B,"not found",0)</f>
        <v>Cyclocross Bicycles</v>
      </c>
      <c r="H212" s="1">
        <f>(order_items!D212*order_items!E212)-order_items!F212</f>
        <v>269.92</v>
      </c>
    </row>
    <row r="213" spans="1:8" x14ac:dyDescent="0.25">
      <c r="A213">
        <v>212</v>
      </c>
      <c r="B213" t="s">
        <v>212</v>
      </c>
      <c r="C213">
        <v>1</v>
      </c>
      <c r="D213">
        <v>3</v>
      </c>
      <c r="E213">
        <v>2018</v>
      </c>
      <c r="F213">
        <v>559.99</v>
      </c>
      <c r="G213" s="1" t="str">
        <f>_xlfn.XLOOKUP(D213,category!A:A,category!B:B,"not found",0)</f>
        <v>Cruisers Bicycles</v>
      </c>
      <c r="H213" s="1">
        <f>(order_items!D213*order_items!E213)-order_items!F213</f>
        <v>1199.93</v>
      </c>
    </row>
    <row r="214" spans="1:8" x14ac:dyDescent="0.25">
      <c r="A214">
        <v>213</v>
      </c>
      <c r="B214" t="s">
        <v>213</v>
      </c>
      <c r="C214">
        <v>1</v>
      </c>
      <c r="D214">
        <v>3</v>
      </c>
      <c r="E214">
        <v>2018</v>
      </c>
      <c r="F214">
        <v>269.99</v>
      </c>
      <c r="G214" s="1" t="str">
        <f>_xlfn.XLOOKUP(D214,category!A:A,category!B:B,"not found",0)</f>
        <v>Cruisers Bicycles</v>
      </c>
      <c r="H214" s="1">
        <f>(order_items!D214*order_items!E214)-order_items!F214</f>
        <v>1999.91</v>
      </c>
    </row>
    <row r="215" spans="1:8" x14ac:dyDescent="0.25">
      <c r="A215">
        <v>214</v>
      </c>
      <c r="B215" t="s">
        <v>214</v>
      </c>
      <c r="C215">
        <v>1</v>
      </c>
      <c r="D215">
        <v>3</v>
      </c>
      <c r="E215">
        <v>2018</v>
      </c>
      <c r="F215">
        <v>899.99</v>
      </c>
      <c r="G215" s="1" t="str">
        <f>_xlfn.XLOOKUP(D215,category!A:A,category!B:B,"not found",0)</f>
        <v>Cruisers Bicycles</v>
      </c>
      <c r="H215" s="1">
        <f>(order_items!D215*order_items!E215)-order_items!F215</f>
        <v>499.92</v>
      </c>
    </row>
    <row r="216" spans="1:8" x14ac:dyDescent="0.25">
      <c r="A216">
        <v>215</v>
      </c>
      <c r="B216" t="s">
        <v>215</v>
      </c>
      <c r="C216">
        <v>1</v>
      </c>
      <c r="D216">
        <v>3</v>
      </c>
      <c r="E216">
        <v>2018</v>
      </c>
      <c r="F216">
        <v>749.99</v>
      </c>
      <c r="G216" s="1" t="str">
        <f>_xlfn.XLOOKUP(D216,category!A:A,category!B:B,"not found",0)</f>
        <v>Cruisers Bicycles</v>
      </c>
      <c r="H216" s="1">
        <f>(order_items!D216*order_items!E216)-order_items!F216</f>
        <v>599.78</v>
      </c>
    </row>
    <row r="217" spans="1:8" x14ac:dyDescent="0.25">
      <c r="A217">
        <v>216</v>
      </c>
      <c r="B217" t="s">
        <v>216</v>
      </c>
      <c r="C217">
        <v>1</v>
      </c>
      <c r="D217">
        <v>3</v>
      </c>
      <c r="E217">
        <v>2018</v>
      </c>
      <c r="F217">
        <v>899.99</v>
      </c>
      <c r="G217" s="1" t="str">
        <f>_xlfn.XLOOKUP(D217,category!A:A,category!B:B,"not found",0)</f>
        <v>Cruisers Bicycles</v>
      </c>
      <c r="H217" s="1">
        <f>(order_items!D217*order_items!E217)-order_items!F217</f>
        <v>1199.93</v>
      </c>
    </row>
    <row r="218" spans="1:8" x14ac:dyDescent="0.25">
      <c r="A218">
        <v>217</v>
      </c>
      <c r="B218" t="s">
        <v>217</v>
      </c>
      <c r="C218">
        <v>1</v>
      </c>
      <c r="D218">
        <v>3</v>
      </c>
      <c r="E218">
        <v>2018</v>
      </c>
      <c r="F218">
        <v>909.99</v>
      </c>
      <c r="G218" s="1" t="str">
        <f>_xlfn.XLOOKUP(D218,category!A:A,category!B:B,"not found",0)</f>
        <v>Cruisers Bicycles</v>
      </c>
      <c r="H218" s="1">
        <f>(order_items!D218*order_items!E218)-order_items!F218</f>
        <v>469.92</v>
      </c>
    </row>
    <row r="219" spans="1:8" x14ac:dyDescent="0.25">
      <c r="A219">
        <v>218</v>
      </c>
      <c r="B219" t="s">
        <v>218</v>
      </c>
      <c r="C219">
        <v>1</v>
      </c>
      <c r="D219">
        <v>3</v>
      </c>
      <c r="E219">
        <v>2018</v>
      </c>
      <c r="F219">
        <v>319.99</v>
      </c>
      <c r="G219" s="1" t="str">
        <f>_xlfn.XLOOKUP(D219,category!A:A,category!B:B,"not found",0)</f>
        <v>Cruisers Bicycles</v>
      </c>
      <c r="H219" s="1">
        <f>(order_items!D219*order_items!E219)-order_items!F219</f>
        <v>999.89</v>
      </c>
    </row>
    <row r="220" spans="1:8" x14ac:dyDescent="0.25">
      <c r="A220">
        <v>219</v>
      </c>
      <c r="B220" t="s">
        <v>219</v>
      </c>
      <c r="C220">
        <v>1</v>
      </c>
      <c r="D220">
        <v>3</v>
      </c>
      <c r="E220">
        <v>2018</v>
      </c>
      <c r="F220">
        <v>639.99</v>
      </c>
      <c r="G220" s="1" t="str">
        <f>_xlfn.XLOOKUP(D220,category!A:A,category!B:B,"not found",0)</f>
        <v>Cruisers Bicycles</v>
      </c>
      <c r="H220" s="1">
        <f>(order_items!D220*order_items!E220)-order_items!F220</f>
        <v>7999.91</v>
      </c>
    </row>
    <row r="221" spans="1:8" x14ac:dyDescent="0.25">
      <c r="A221">
        <v>220</v>
      </c>
      <c r="B221" t="s">
        <v>220</v>
      </c>
      <c r="C221">
        <v>1</v>
      </c>
      <c r="D221">
        <v>3</v>
      </c>
      <c r="E221">
        <v>2018</v>
      </c>
      <c r="F221">
        <v>269.99</v>
      </c>
      <c r="G221" s="1" t="str">
        <f>_xlfn.XLOOKUP(D221,category!A:A,category!B:B,"not found",0)</f>
        <v>Cruisers Bicycles</v>
      </c>
      <c r="H221" s="1">
        <f>(order_items!D221*order_items!E221)-order_items!F221</f>
        <v>529.79</v>
      </c>
    </row>
    <row r="222" spans="1:8" x14ac:dyDescent="0.25">
      <c r="A222">
        <v>221</v>
      </c>
      <c r="B222" t="s">
        <v>221</v>
      </c>
      <c r="C222">
        <v>1</v>
      </c>
      <c r="D222">
        <v>3</v>
      </c>
      <c r="E222">
        <v>2018</v>
      </c>
      <c r="F222">
        <v>319.99</v>
      </c>
      <c r="G222" s="1" t="str">
        <f>_xlfn.XLOOKUP(D222,category!A:A,category!B:B,"not found",0)</f>
        <v>Cruisers Bicycles</v>
      </c>
      <c r="H222" s="1">
        <f>(order_items!D222*order_items!E222)-order_items!F222</f>
        <v>549.94000000000005</v>
      </c>
    </row>
    <row r="223" spans="1:8" x14ac:dyDescent="0.25">
      <c r="A223">
        <v>222</v>
      </c>
      <c r="B223" t="s">
        <v>222</v>
      </c>
      <c r="C223">
        <v>1</v>
      </c>
      <c r="D223">
        <v>3</v>
      </c>
      <c r="E223">
        <v>2018</v>
      </c>
      <c r="F223">
        <v>269.99</v>
      </c>
      <c r="G223" s="1" t="str">
        <f>_xlfn.XLOOKUP(D223,category!A:A,category!B:B,"not found",0)</f>
        <v>Cruisers Bicycles</v>
      </c>
      <c r="H223" s="1">
        <f>(order_items!D223*order_items!E223)-order_items!F223</f>
        <v>3361.88</v>
      </c>
    </row>
    <row r="224" spans="1:8" x14ac:dyDescent="0.25">
      <c r="A224">
        <v>223</v>
      </c>
      <c r="B224" t="s">
        <v>223</v>
      </c>
      <c r="C224">
        <v>1</v>
      </c>
      <c r="D224">
        <v>3</v>
      </c>
      <c r="E224">
        <v>2018</v>
      </c>
      <c r="F224">
        <v>529.99</v>
      </c>
      <c r="G224" s="1" t="str">
        <f>_xlfn.XLOOKUP(D224,category!A:A,category!B:B,"not found",0)</f>
        <v>Cruisers Bicycles</v>
      </c>
      <c r="H224" s="1">
        <f>(order_items!D224*order_items!E224)-order_items!F224</f>
        <v>1320.92</v>
      </c>
    </row>
    <row r="225" spans="1:8" x14ac:dyDescent="0.25">
      <c r="A225">
        <v>224</v>
      </c>
      <c r="B225" t="s">
        <v>224</v>
      </c>
      <c r="C225">
        <v>1</v>
      </c>
      <c r="D225">
        <v>3</v>
      </c>
      <c r="E225">
        <v>2018</v>
      </c>
      <c r="F225">
        <v>479.99</v>
      </c>
      <c r="G225" s="1" t="str">
        <f>_xlfn.XLOOKUP(D225,category!A:A,category!B:B,"not found",0)</f>
        <v>Cruisers Bicycles</v>
      </c>
      <c r="H225" s="1">
        <f>(order_items!D225*order_items!E225)-order_items!F225</f>
        <v>599.91999999999996</v>
      </c>
    </row>
    <row r="226" spans="1:8" x14ac:dyDescent="0.25">
      <c r="A226">
        <v>225</v>
      </c>
      <c r="B226" t="s">
        <v>225</v>
      </c>
      <c r="C226">
        <v>1</v>
      </c>
      <c r="D226">
        <v>3</v>
      </c>
      <c r="E226">
        <v>2018</v>
      </c>
      <c r="F226">
        <v>959.99</v>
      </c>
      <c r="G226" s="1" t="str">
        <f>_xlfn.XLOOKUP(D226,category!A:A,category!B:B,"not found",0)</f>
        <v>Cruisers Bicycles</v>
      </c>
      <c r="H226" s="1">
        <f>(order_items!D226*order_items!E226)-order_items!F226</f>
        <v>1099.8800000000001</v>
      </c>
    </row>
    <row r="227" spans="1:8" x14ac:dyDescent="0.25">
      <c r="A227">
        <v>226</v>
      </c>
      <c r="B227" t="s">
        <v>226</v>
      </c>
      <c r="C227">
        <v>1</v>
      </c>
      <c r="D227">
        <v>3</v>
      </c>
      <c r="E227">
        <v>2018</v>
      </c>
      <c r="F227">
        <v>679.99</v>
      </c>
      <c r="G227" s="1" t="str">
        <f>_xlfn.XLOOKUP(D227,category!A:A,category!B:B,"not found",0)</f>
        <v>Cruisers Bicycles</v>
      </c>
      <c r="H227" s="1">
        <f>(order_items!D227*order_items!E227)-order_items!F227</f>
        <v>599.79</v>
      </c>
    </row>
    <row r="228" spans="1:8" x14ac:dyDescent="0.25">
      <c r="A228">
        <v>227</v>
      </c>
      <c r="B228" t="s">
        <v>227</v>
      </c>
      <c r="C228">
        <v>1</v>
      </c>
      <c r="D228">
        <v>3</v>
      </c>
      <c r="E228">
        <v>2018</v>
      </c>
      <c r="F228">
        <v>319.99</v>
      </c>
      <c r="G228" s="1" t="str">
        <f>_xlfn.XLOOKUP(D228,category!A:A,category!B:B,"not found",0)</f>
        <v>Cruisers Bicycles</v>
      </c>
      <c r="H228" s="1">
        <f>(order_items!D228*order_items!E228)-order_items!F228</f>
        <v>499.79</v>
      </c>
    </row>
    <row r="229" spans="1:8" x14ac:dyDescent="0.25">
      <c r="A229">
        <v>228</v>
      </c>
      <c r="B229" t="s">
        <v>228</v>
      </c>
      <c r="C229">
        <v>1</v>
      </c>
      <c r="D229">
        <v>3</v>
      </c>
      <c r="E229">
        <v>2018</v>
      </c>
      <c r="F229">
        <v>319.99</v>
      </c>
      <c r="G229" s="1" t="str">
        <f>_xlfn.XLOOKUP(D229,category!A:A,category!B:B,"not found",0)</f>
        <v>Cruisers Bicycles</v>
      </c>
      <c r="H229" s="1">
        <f>(order_items!D229*order_items!E229)-order_items!F229</f>
        <v>428.93</v>
      </c>
    </row>
    <row r="230" spans="1:8" x14ac:dyDescent="0.25">
      <c r="A230">
        <v>229</v>
      </c>
      <c r="B230" t="s">
        <v>229</v>
      </c>
      <c r="C230">
        <v>1</v>
      </c>
      <c r="D230">
        <v>3</v>
      </c>
      <c r="E230">
        <v>2018</v>
      </c>
      <c r="F230">
        <v>429.99</v>
      </c>
      <c r="G230" s="1" t="str">
        <f>_xlfn.XLOOKUP(D230,category!A:A,category!B:B,"not found",0)</f>
        <v>Cruisers Bicycles</v>
      </c>
      <c r="H230" s="1">
        <f>(order_items!D230*order_items!E230)-order_items!F230</f>
        <v>448.8</v>
      </c>
    </row>
    <row r="231" spans="1:8" x14ac:dyDescent="0.25">
      <c r="A231">
        <v>230</v>
      </c>
      <c r="B231" t="s">
        <v>230</v>
      </c>
      <c r="C231">
        <v>1</v>
      </c>
      <c r="D231">
        <v>3</v>
      </c>
      <c r="E231">
        <v>2018</v>
      </c>
      <c r="F231">
        <v>429.99</v>
      </c>
      <c r="G231" s="1" t="str">
        <f>_xlfn.XLOOKUP(D231,category!A:A,category!B:B,"not found",0)</f>
        <v>Cruisers Bicycles</v>
      </c>
      <c r="H231" s="1">
        <f>(order_items!D231*order_items!E231)-order_items!F231</f>
        <v>897.9</v>
      </c>
    </row>
    <row r="232" spans="1:8" x14ac:dyDescent="0.25">
      <c r="A232">
        <v>231</v>
      </c>
      <c r="B232" t="s">
        <v>231</v>
      </c>
      <c r="C232">
        <v>1</v>
      </c>
      <c r="D232">
        <v>3</v>
      </c>
      <c r="E232">
        <v>2018</v>
      </c>
      <c r="F232">
        <v>529.99</v>
      </c>
      <c r="G232" s="1" t="str">
        <f>_xlfn.XLOOKUP(D232,category!A:A,category!B:B,"not found",0)</f>
        <v>Cruisers Bicycles</v>
      </c>
      <c r="H232" s="1">
        <f>(order_items!D232*order_items!E232)-order_items!F232</f>
        <v>539.88</v>
      </c>
    </row>
    <row r="233" spans="1:8" x14ac:dyDescent="0.25">
      <c r="A233">
        <v>232</v>
      </c>
      <c r="B233" t="s">
        <v>232</v>
      </c>
      <c r="C233">
        <v>1</v>
      </c>
      <c r="D233">
        <v>3</v>
      </c>
      <c r="E233">
        <v>2018</v>
      </c>
      <c r="F233">
        <v>479.99</v>
      </c>
      <c r="G233" s="1" t="str">
        <f>_xlfn.XLOOKUP(D233,category!A:A,category!B:B,"not found",0)</f>
        <v>Cruisers Bicycles</v>
      </c>
      <c r="H233" s="1">
        <f>(order_items!D233*order_items!E233)-order_items!F233</f>
        <v>5999.8799999999992</v>
      </c>
    </row>
    <row r="234" spans="1:8" x14ac:dyDescent="0.25">
      <c r="A234">
        <v>233</v>
      </c>
      <c r="B234" t="s">
        <v>233</v>
      </c>
      <c r="C234">
        <v>1</v>
      </c>
      <c r="D234">
        <v>3</v>
      </c>
      <c r="E234">
        <v>2018</v>
      </c>
      <c r="F234">
        <v>639.99</v>
      </c>
      <c r="G234" s="1" t="str">
        <f>_xlfn.XLOOKUP(D234,category!A:A,category!B:B,"not found",0)</f>
        <v>Cruisers Bicycles</v>
      </c>
      <c r="H234" s="1">
        <f>(order_items!D234*order_items!E234)-order_items!F234</f>
        <v>857.95</v>
      </c>
    </row>
    <row r="235" spans="1:8" x14ac:dyDescent="0.25">
      <c r="A235">
        <v>234</v>
      </c>
      <c r="B235" t="s">
        <v>234</v>
      </c>
      <c r="C235">
        <v>1</v>
      </c>
      <c r="D235">
        <v>3</v>
      </c>
      <c r="E235">
        <v>2018</v>
      </c>
      <c r="F235">
        <v>899.99</v>
      </c>
      <c r="G235" s="1" t="str">
        <f>_xlfn.XLOOKUP(D235,category!A:A,category!B:B,"not found",0)</f>
        <v>Cruisers Bicycles</v>
      </c>
      <c r="H235" s="1">
        <f>(order_items!D235*order_items!E235)-order_items!F235</f>
        <v>469.89</v>
      </c>
    </row>
    <row r="236" spans="1:8" x14ac:dyDescent="0.25">
      <c r="A236">
        <v>235</v>
      </c>
      <c r="B236" t="s">
        <v>235</v>
      </c>
      <c r="C236">
        <v>1</v>
      </c>
      <c r="D236">
        <v>3</v>
      </c>
      <c r="E236">
        <v>2018</v>
      </c>
      <c r="F236">
        <v>899.99</v>
      </c>
      <c r="G236" s="1" t="str">
        <f>_xlfn.XLOOKUP(D236,category!A:A,category!B:B,"not found",0)</f>
        <v>Cruisers Bicycles</v>
      </c>
      <c r="H236" s="1">
        <f>(order_items!D236*order_items!E236)-order_items!F236</f>
        <v>999.91</v>
      </c>
    </row>
    <row r="237" spans="1:8" x14ac:dyDescent="0.25">
      <c r="A237">
        <v>236</v>
      </c>
      <c r="B237" t="s">
        <v>236</v>
      </c>
      <c r="C237">
        <v>1</v>
      </c>
      <c r="D237">
        <v>3</v>
      </c>
      <c r="E237">
        <v>2018</v>
      </c>
      <c r="F237">
        <v>749.99</v>
      </c>
      <c r="G237" s="1" t="str">
        <f>_xlfn.XLOOKUP(D237,category!A:A,category!B:B,"not found",0)</f>
        <v>Cruisers Bicycles</v>
      </c>
      <c r="H237" s="1">
        <f>(order_items!D237*order_items!E237)-order_items!F237</f>
        <v>599.89</v>
      </c>
    </row>
    <row r="238" spans="1:8" x14ac:dyDescent="0.25">
      <c r="A238">
        <v>237</v>
      </c>
      <c r="B238" t="s">
        <v>237</v>
      </c>
      <c r="C238">
        <v>1</v>
      </c>
      <c r="D238">
        <v>3</v>
      </c>
      <c r="E238">
        <v>2018</v>
      </c>
      <c r="F238">
        <v>849.99</v>
      </c>
      <c r="G238" s="1" t="str">
        <f>_xlfn.XLOOKUP(D238,category!A:A,category!B:B,"not found",0)</f>
        <v>Cruisers Bicycles</v>
      </c>
      <c r="H238" s="1">
        <f>(order_items!D238*order_items!E238)-order_items!F238</f>
        <v>549.89</v>
      </c>
    </row>
    <row r="239" spans="1:8" x14ac:dyDescent="0.25">
      <c r="A239">
        <v>238</v>
      </c>
      <c r="B239" t="s">
        <v>238</v>
      </c>
      <c r="C239">
        <v>1</v>
      </c>
      <c r="D239">
        <v>3</v>
      </c>
      <c r="E239">
        <v>2018</v>
      </c>
      <c r="F239">
        <v>749.99</v>
      </c>
      <c r="G239" s="1" t="str">
        <f>_xlfn.XLOOKUP(D239,category!A:A,category!B:B,"not found",0)</f>
        <v>Cruisers Bicycles</v>
      </c>
      <c r="H239" s="1">
        <f>(order_items!D239*order_items!E239)-order_items!F239</f>
        <v>428.8</v>
      </c>
    </row>
    <row r="240" spans="1:8" x14ac:dyDescent="0.25">
      <c r="A240">
        <v>239</v>
      </c>
      <c r="B240" t="s">
        <v>239</v>
      </c>
      <c r="C240">
        <v>1</v>
      </c>
      <c r="D240">
        <v>3</v>
      </c>
      <c r="E240">
        <v>2018</v>
      </c>
      <c r="F240">
        <v>749.99</v>
      </c>
      <c r="G240" s="1" t="str">
        <f>_xlfn.XLOOKUP(D240,category!A:A,category!B:B,"not found",0)</f>
        <v>Cruisers Bicycles</v>
      </c>
      <c r="H240" s="1">
        <f>(order_items!D240*order_items!E240)-order_items!F240</f>
        <v>3097.8</v>
      </c>
    </row>
    <row r="241" spans="1:8" x14ac:dyDescent="0.25">
      <c r="A241">
        <v>240</v>
      </c>
      <c r="B241" t="s">
        <v>240</v>
      </c>
      <c r="C241">
        <v>1</v>
      </c>
      <c r="D241">
        <v>3</v>
      </c>
      <c r="E241">
        <v>2018</v>
      </c>
      <c r="F241">
        <v>899.99</v>
      </c>
      <c r="G241" s="1" t="str">
        <f>_xlfn.XLOOKUP(D241,category!A:A,category!B:B,"not found",0)</f>
        <v>Cruisers Bicycles</v>
      </c>
      <c r="H241" s="1">
        <f>(order_items!D241*order_items!E241)-order_items!F241</f>
        <v>599.93000000000006</v>
      </c>
    </row>
    <row r="242" spans="1:8" x14ac:dyDescent="0.25">
      <c r="A242">
        <v>241</v>
      </c>
      <c r="B242" t="s">
        <v>241</v>
      </c>
      <c r="C242">
        <v>1</v>
      </c>
      <c r="D242">
        <v>3</v>
      </c>
      <c r="E242">
        <v>2018</v>
      </c>
      <c r="F242">
        <v>749.99</v>
      </c>
      <c r="G242" s="1" t="str">
        <f>_xlfn.XLOOKUP(D242,category!A:A,category!B:B,"not found",0)</f>
        <v>Cruisers Bicycles</v>
      </c>
      <c r="H242" s="1">
        <f>(order_items!D242*order_items!E242)-order_items!F242</f>
        <v>999.93000000000006</v>
      </c>
    </row>
    <row r="243" spans="1:8" x14ac:dyDescent="0.25">
      <c r="A243">
        <v>242</v>
      </c>
      <c r="B243" t="s">
        <v>242</v>
      </c>
      <c r="C243">
        <v>1</v>
      </c>
      <c r="D243">
        <v>3</v>
      </c>
      <c r="E243">
        <v>2018</v>
      </c>
      <c r="F243">
        <v>699.99</v>
      </c>
      <c r="G243" s="1" t="str">
        <f>_xlfn.XLOOKUP(D243,category!A:A,category!B:B,"not found",0)</f>
        <v>Cruisers Bicycles</v>
      </c>
      <c r="H243" s="1">
        <f>(order_items!D243*order_items!E243)-order_items!F243</f>
        <v>999.88</v>
      </c>
    </row>
    <row r="244" spans="1:8" x14ac:dyDescent="0.25">
      <c r="A244">
        <v>243</v>
      </c>
      <c r="B244" t="s">
        <v>243</v>
      </c>
      <c r="C244">
        <v>1</v>
      </c>
      <c r="D244">
        <v>3</v>
      </c>
      <c r="E244">
        <v>2018</v>
      </c>
      <c r="F244">
        <v>679.99</v>
      </c>
      <c r="G244" s="1" t="str">
        <f>_xlfn.XLOOKUP(D244,category!A:A,category!B:B,"not found",0)</f>
        <v>Cruisers Bicycles</v>
      </c>
      <c r="H244" s="1">
        <f>(order_items!D244*order_items!E244)-order_items!F244</f>
        <v>3361.78</v>
      </c>
    </row>
    <row r="245" spans="1:8" x14ac:dyDescent="0.25">
      <c r="A245">
        <v>244</v>
      </c>
      <c r="B245" t="s">
        <v>244</v>
      </c>
      <c r="C245">
        <v>1</v>
      </c>
      <c r="D245">
        <v>3</v>
      </c>
      <c r="E245">
        <v>2018</v>
      </c>
      <c r="F245">
        <v>559.99</v>
      </c>
      <c r="G245" s="1" t="str">
        <f>_xlfn.XLOOKUP(D245,category!A:A,category!B:B,"not found",0)</f>
        <v>Cruisers Bicycles</v>
      </c>
      <c r="H245" s="1">
        <f>(order_items!D245*order_items!E245)-order_items!F245</f>
        <v>599.79</v>
      </c>
    </row>
    <row r="246" spans="1:8" x14ac:dyDescent="0.25">
      <c r="A246">
        <v>245</v>
      </c>
      <c r="B246" t="s">
        <v>245</v>
      </c>
      <c r="C246">
        <v>1</v>
      </c>
      <c r="D246">
        <v>3</v>
      </c>
      <c r="E246">
        <v>2018</v>
      </c>
      <c r="F246">
        <v>659.99</v>
      </c>
      <c r="G246" s="1" t="str">
        <f>_xlfn.XLOOKUP(D246,category!A:A,category!B:B,"not found",0)</f>
        <v>Cruisers Bicycles</v>
      </c>
      <c r="H246" s="1">
        <f>(order_items!D246*order_items!E246)-order_items!F246</f>
        <v>1999.93</v>
      </c>
    </row>
    <row r="247" spans="1:8" x14ac:dyDescent="0.25">
      <c r="A247">
        <v>246</v>
      </c>
      <c r="B247" t="s">
        <v>246</v>
      </c>
      <c r="C247">
        <v>1</v>
      </c>
      <c r="D247">
        <v>3</v>
      </c>
      <c r="E247">
        <v>2018</v>
      </c>
      <c r="F247">
        <v>639.99</v>
      </c>
      <c r="G247" s="1" t="str">
        <f>_xlfn.XLOOKUP(D247,category!A:A,category!B:B,"not found",0)</f>
        <v>Cruisers Bicycles</v>
      </c>
      <c r="H247" s="1">
        <f>(order_items!D247*order_items!E247)-order_items!F247</f>
        <v>599.91</v>
      </c>
    </row>
    <row r="248" spans="1:8" x14ac:dyDescent="0.25">
      <c r="A248">
        <v>247</v>
      </c>
      <c r="B248" t="s">
        <v>247</v>
      </c>
      <c r="C248">
        <v>1</v>
      </c>
      <c r="D248">
        <v>3</v>
      </c>
      <c r="E248">
        <v>2018</v>
      </c>
      <c r="F248">
        <v>599.99</v>
      </c>
      <c r="G248" s="1" t="str">
        <f>_xlfn.XLOOKUP(D248,category!A:A,category!B:B,"not found",0)</f>
        <v>Cruisers Bicycles</v>
      </c>
      <c r="H248" s="1">
        <f>(order_items!D248*order_items!E248)-order_items!F248</f>
        <v>1059.9100000000001</v>
      </c>
    </row>
    <row r="249" spans="1:8" x14ac:dyDescent="0.25">
      <c r="A249">
        <v>248</v>
      </c>
      <c r="B249" t="s">
        <v>248</v>
      </c>
      <c r="C249">
        <v>1</v>
      </c>
      <c r="D249">
        <v>3</v>
      </c>
      <c r="E249">
        <v>2018</v>
      </c>
      <c r="F249">
        <v>599.99</v>
      </c>
      <c r="G249" s="1" t="str">
        <f>_xlfn.XLOOKUP(D249,category!A:A,category!B:B,"not found",0)</f>
        <v>Cruisers Bicycles</v>
      </c>
      <c r="H249" s="1">
        <f>(order_items!D249*order_items!E249)-order_items!F249</f>
        <v>5799.9299999999994</v>
      </c>
    </row>
    <row r="250" spans="1:8" x14ac:dyDescent="0.25">
      <c r="A250">
        <v>249</v>
      </c>
      <c r="B250" t="s">
        <v>249</v>
      </c>
      <c r="C250">
        <v>1</v>
      </c>
      <c r="D250">
        <v>3</v>
      </c>
      <c r="E250">
        <v>2018</v>
      </c>
      <c r="F250">
        <v>749.99</v>
      </c>
      <c r="G250" s="1" t="str">
        <f>_xlfn.XLOOKUP(D250,category!A:A,category!B:B,"not found",0)</f>
        <v>Cruisers Bicycles</v>
      </c>
      <c r="H250" s="1">
        <f>(order_items!D250*order_items!E250)-order_items!F250</f>
        <v>448.93</v>
      </c>
    </row>
    <row r="251" spans="1:8" x14ac:dyDescent="0.25">
      <c r="A251">
        <v>250</v>
      </c>
      <c r="B251" t="s">
        <v>194</v>
      </c>
      <c r="C251">
        <v>1</v>
      </c>
      <c r="D251">
        <v>3</v>
      </c>
      <c r="E251">
        <v>2018</v>
      </c>
      <c r="F251">
        <v>2599.9899999999998</v>
      </c>
      <c r="G251" s="1" t="str">
        <f>_xlfn.XLOOKUP(D251,category!A:A,category!B:B,"not found",0)</f>
        <v>Cruisers Bicycles</v>
      </c>
      <c r="H251" s="1">
        <f>(order_items!D251*order_items!E251)-order_items!F251</f>
        <v>5999.8799999999992</v>
      </c>
    </row>
    <row r="252" spans="1:8" x14ac:dyDescent="0.25">
      <c r="A252">
        <v>251</v>
      </c>
      <c r="B252" t="s">
        <v>200</v>
      </c>
      <c r="C252">
        <v>1</v>
      </c>
      <c r="D252">
        <v>3</v>
      </c>
      <c r="E252">
        <v>2018</v>
      </c>
      <c r="F252">
        <v>2999.99</v>
      </c>
      <c r="G252" s="1" t="str">
        <f>_xlfn.XLOOKUP(D252,category!A:A,category!B:B,"not found",0)</f>
        <v>Cruisers Bicycles</v>
      </c>
      <c r="H252" s="1">
        <f>(order_items!D252*order_items!E252)-order_items!F252</f>
        <v>599.91</v>
      </c>
    </row>
    <row r="253" spans="1:8" x14ac:dyDescent="0.25">
      <c r="A253">
        <v>252</v>
      </c>
      <c r="B253" t="s">
        <v>201</v>
      </c>
      <c r="C253">
        <v>1</v>
      </c>
      <c r="D253">
        <v>3</v>
      </c>
      <c r="E253">
        <v>2018</v>
      </c>
      <c r="F253">
        <v>2999.99</v>
      </c>
      <c r="G253" s="1" t="str">
        <f>_xlfn.XLOOKUP(D253,category!A:A,category!B:B,"not found",0)</f>
        <v>Cruisers Bicycles</v>
      </c>
      <c r="H253" s="1">
        <f>(order_items!D253*order_items!E253)-order_items!F253</f>
        <v>539.78</v>
      </c>
    </row>
    <row r="254" spans="1:8" x14ac:dyDescent="0.25">
      <c r="A254">
        <v>253</v>
      </c>
      <c r="B254" t="s">
        <v>197</v>
      </c>
      <c r="C254">
        <v>1</v>
      </c>
      <c r="D254">
        <v>3</v>
      </c>
      <c r="E254">
        <v>2018</v>
      </c>
      <c r="F254">
        <v>2599.9899999999998</v>
      </c>
      <c r="G254" s="1" t="str">
        <f>_xlfn.XLOOKUP(D254,category!A:A,category!B:B,"not found",0)</f>
        <v>Cruisers Bicycles</v>
      </c>
      <c r="H254" s="1">
        <f>(order_items!D254*order_items!E254)-order_items!F254</f>
        <v>529.89</v>
      </c>
    </row>
    <row r="255" spans="1:8" x14ac:dyDescent="0.25">
      <c r="A255">
        <v>254</v>
      </c>
      <c r="B255" t="s">
        <v>250</v>
      </c>
      <c r="C255">
        <v>1</v>
      </c>
      <c r="D255">
        <v>3</v>
      </c>
      <c r="E255">
        <v>2018</v>
      </c>
      <c r="F255">
        <v>749.99</v>
      </c>
      <c r="G255" s="1" t="str">
        <f>_xlfn.XLOOKUP(D255,category!A:A,category!B:B,"not found",0)</f>
        <v>Cruisers Bicycles</v>
      </c>
      <c r="H255" s="1">
        <f>(order_items!D255*order_items!E255)-order_items!F255</f>
        <v>1199.78</v>
      </c>
    </row>
    <row r="256" spans="1:8" x14ac:dyDescent="0.25">
      <c r="A256">
        <v>255</v>
      </c>
      <c r="B256" t="s">
        <v>251</v>
      </c>
      <c r="C256">
        <v>1</v>
      </c>
      <c r="D256">
        <v>3</v>
      </c>
      <c r="E256">
        <v>2018</v>
      </c>
      <c r="F256">
        <v>899.99</v>
      </c>
      <c r="G256" s="1" t="str">
        <f>_xlfn.XLOOKUP(D256,category!A:A,category!B:B,"not found",0)</f>
        <v>Cruisers Bicycles</v>
      </c>
      <c r="H256" s="1">
        <f>(order_items!D256*order_items!E256)-order_items!F256</f>
        <v>599.88</v>
      </c>
    </row>
    <row r="257" spans="1:8" x14ac:dyDescent="0.25">
      <c r="A257">
        <v>256</v>
      </c>
      <c r="B257" t="s">
        <v>252</v>
      </c>
      <c r="C257">
        <v>1</v>
      </c>
      <c r="D257">
        <v>3</v>
      </c>
      <c r="E257">
        <v>2018</v>
      </c>
      <c r="F257">
        <v>899.99</v>
      </c>
      <c r="G257" s="1" t="str">
        <f>_xlfn.XLOOKUP(D257,category!A:A,category!B:B,"not found",0)</f>
        <v>Cruisers Bicycles</v>
      </c>
      <c r="H257" s="1">
        <f>(order_items!D257*order_items!E257)-order_items!F257</f>
        <v>1548.93</v>
      </c>
    </row>
    <row r="258" spans="1:8" x14ac:dyDescent="0.25">
      <c r="A258">
        <v>257</v>
      </c>
      <c r="B258" t="s">
        <v>253</v>
      </c>
      <c r="C258">
        <v>1</v>
      </c>
      <c r="D258">
        <v>3</v>
      </c>
      <c r="E258">
        <v>2018</v>
      </c>
      <c r="F258">
        <v>899.99</v>
      </c>
      <c r="G258" s="1" t="str">
        <f>_xlfn.XLOOKUP(D258,category!A:A,category!B:B,"not found",0)</f>
        <v>Cruisers Bicycles</v>
      </c>
      <c r="H258" s="1">
        <f>(order_items!D258*order_items!E258)-order_items!F258</f>
        <v>3599.88</v>
      </c>
    </row>
    <row r="259" spans="1:8" x14ac:dyDescent="0.25">
      <c r="A259">
        <v>258</v>
      </c>
      <c r="B259" t="s">
        <v>254</v>
      </c>
      <c r="C259">
        <v>1</v>
      </c>
      <c r="D259">
        <v>3</v>
      </c>
      <c r="E259">
        <v>2018</v>
      </c>
      <c r="F259">
        <v>1259.9000000000001</v>
      </c>
      <c r="G259" s="1" t="str">
        <f>_xlfn.XLOOKUP(D259,category!A:A,category!B:B,"not found",0)</f>
        <v>Cruisers Bicycles</v>
      </c>
      <c r="H259" s="1">
        <f>(order_items!D259*order_items!E259)-order_items!F259</f>
        <v>3999.89</v>
      </c>
    </row>
    <row r="260" spans="1:8" x14ac:dyDescent="0.25">
      <c r="A260">
        <v>259</v>
      </c>
      <c r="B260" t="s">
        <v>255</v>
      </c>
      <c r="C260">
        <v>1</v>
      </c>
      <c r="D260">
        <v>3</v>
      </c>
      <c r="E260">
        <v>2018</v>
      </c>
      <c r="F260">
        <v>1199.99</v>
      </c>
      <c r="G260" s="1" t="str">
        <f>_xlfn.XLOOKUP(D260,category!A:A,category!B:B,"not found",0)</f>
        <v>Cruisers Bicycles</v>
      </c>
      <c r="H260" s="1">
        <f>(order_items!D260*order_items!E260)-order_items!F260</f>
        <v>1320.94</v>
      </c>
    </row>
    <row r="261" spans="1:8" x14ac:dyDescent="0.25">
      <c r="A261">
        <v>260</v>
      </c>
      <c r="B261" t="s">
        <v>256</v>
      </c>
      <c r="C261">
        <v>1</v>
      </c>
      <c r="D261">
        <v>3</v>
      </c>
      <c r="E261">
        <v>2018</v>
      </c>
      <c r="F261">
        <v>799.99</v>
      </c>
      <c r="G261" s="1" t="str">
        <f>_xlfn.XLOOKUP(D261,category!A:A,category!B:B,"not found",0)</f>
        <v>Cruisers Bicycles</v>
      </c>
      <c r="H261" s="1">
        <f>(order_items!D261*order_items!E261)-order_items!F261</f>
        <v>939.88</v>
      </c>
    </row>
    <row r="262" spans="1:8" x14ac:dyDescent="0.25">
      <c r="A262">
        <v>261</v>
      </c>
      <c r="B262" t="s">
        <v>257</v>
      </c>
      <c r="C262">
        <v>1</v>
      </c>
      <c r="D262">
        <v>3</v>
      </c>
      <c r="E262">
        <v>2018</v>
      </c>
      <c r="F262">
        <v>899.99</v>
      </c>
      <c r="G262" s="1" t="str">
        <f>_xlfn.XLOOKUP(D262,category!A:A,category!B:B,"not found",0)</f>
        <v>Cruisers Bicycles</v>
      </c>
      <c r="H262" s="1">
        <f>(order_items!D262*order_items!E262)-order_items!F262</f>
        <v>999.89</v>
      </c>
    </row>
    <row r="263" spans="1:8" x14ac:dyDescent="0.25">
      <c r="A263">
        <v>262</v>
      </c>
      <c r="B263" t="s">
        <v>258</v>
      </c>
      <c r="C263">
        <v>9</v>
      </c>
      <c r="D263">
        <v>1</v>
      </c>
      <c r="E263">
        <v>2018</v>
      </c>
      <c r="F263">
        <v>249.99</v>
      </c>
      <c r="G263" s="1" t="str">
        <f>_xlfn.XLOOKUP(D263,category!A:A,category!B:B,"not found",0)</f>
        <v>Children Bicycles</v>
      </c>
      <c r="H263" s="1">
        <f>(order_items!D263*order_items!E263)-order_items!F263</f>
        <v>469.92</v>
      </c>
    </row>
    <row r="264" spans="1:8" x14ac:dyDescent="0.25">
      <c r="A264">
        <v>263</v>
      </c>
      <c r="B264" t="s">
        <v>259</v>
      </c>
      <c r="C264">
        <v>6</v>
      </c>
      <c r="D264">
        <v>1</v>
      </c>
      <c r="E264">
        <v>2018</v>
      </c>
      <c r="F264">
        <v>89.99</v>
      </c>
      <c r="G264" s="1" t="str">
        <f>_xlfn.XLOOKUP(D264,category!A:A,category!B:B,"not found",0)</f>
        <v>Children Bicycles</v>
      </c>
      <c r="H264" s="1">
        <f>(order_items!D264*order_items!E264)-order_items!F264</f>
        <v>1680.89</v>
      </c>
    </row>
    <row r="265" spans="1:8" x14ac:dyDescent="0.25">
      <c r="A265">
        <v>264</v>
      </c>
      <c r="B265" t="s">
        <v>260</v>
      </c>
      <c r="C265">
        <v>6</v>
      </c>
      <c r="D265">
        <v>1</v>
      </c>
      <c r="E265">
        <v>2018</v>
      </c>
      <c r="F265">
        <v>249.99</v>
      </c>
      <c r="G265" s="1" t="str">
        <f>_xlfn.XLOOKUP(D265,category!A:A,category!B:B,"not found",0)</f>
        <v>Children Bicycles</v>
      </c>
      <c r="H265" s="1">
        <f>(order_items!D265*order_items!E265)-order_items!F265</f>
        <v>499.94</v>
      </c>
    </row>
    <row r="266" spans="1:8" x14ac:dyDescent="0.25">
      <c r="A266">
        <v>265</v>
      </c>
      <c r="B266" t="s">
        <v>261</v>
      </c>
      <c r="C266">
        <v>6</v>
      </c>
      <c r="D266">
        <v>1</v>
      </c>
      <c r="E266">
        <v>2018</v>
      </c>
      <c r="F266">
        <v>289.99</v>
      </c>
      <c r="G266" s="1" t="str">
        <f>_xlfn.XLOOKUP(D266,category!A:A,category!B:B,"not found",0)</f>
        <v>Children Bicycles</v>
      </c>
      <c r="H266" s="1">
        <f>(order_items!D266*order_items!E266)-order_items!F266</f>
        <v>1059.9100000000001</v>
      </c>
    </row>
    <row r="267" spans="1:8" x14ac:dyDescent="0.25">
      <c r="A267">
        <v>266</v>
      </c>
      <c r="B267" t="s">
        <v>262</v>
      </c>
      <c r="C267">
        <v>9</v>
      </c>
      <c r="D267">
        <v>1</v>
      </c>
      <c r="E267">
        <v>2018</v>
      </c>
      <c r="F267">
        <v>399.99</v>
      </c>
      <c r="G267" s="1" t="str">
        <f>_xlfn.XLOOKUP(D267,category!A:A,category!B:B,"not found",0)</f>
        <v>Children Bicycles</v>
      </c>
      <c r="H267" s="1">
        <f>(order_items!D267*order_items!E267)-order_items!F267</f>
        <v>539.91</v>
      </c>
    </row>
    <row r="268" spans="1:8" x14ac:dyDescent="0.25">
      <c r="A268">
        <v>267</v>
      </c>
      <c r="B268" t="s">
        <v>263</v>
      </c>
      <c r="C268">
        <v>9</v>
      </c>
      <c r="D268">
        <v>1</v>
      </c>
      <c r="E268">
        <v>2018</v>
      </c>
      <c r="F268">
        <v>199.99</v>
      </c>
      <c r="G268" s="1" t="str">
        <f>_xlfn.XLOOKUP(D268,category!A:A,category!B:B,"not found",0)</f>
        <v>Children Bicycles</v>
      </c>
      <c r="H268" s="1">
        <f>(order_items!D268*order_items!E268)-order_items!F268</f>
        <v>1799.89</v>
      </c>
    </row>
    <row r="269" spans="1:8" x14ac:dyDescent="0.25">
      <c r="A269">
        <v>268</v>
      </c>
      <c r="B269" t="s">
        <v>264</v>
      </c>
      <c r="C269">
        <v>9</v>
      </c>
      <c r="D269">
        <v>1</v>
      </c>
      <c r="E269">
        <v>2018</v>
      </c>
      <c r="F269">
        <v>159.99</v>
      </c>
      <c r="G269" s="1" t="str">
        <f>_xlfn.XLOOKUP(D269,category!A:A,category!B:B,"not found",0)</f>
        <v>Children Bicycles</v>
      </c>
      <c r="H269" s="1">
        <f>(order_items!D269*order_items!E269)-order_items!F269</f>
        <v>539.91</v>
      </c>
    </row>
    <row r="270" spans="1:8" x14ac:dyDescent="0.25">
      <c r="A270">
        <v>269</v>
      </c>
      <c r="B270" t="s">
        <v>265</v>
      </c>
      <c r="C270">
        <v>9</v>
      </c>
      <c r="D270">
        <v>1</v>
      </c>
      <c r="E270">
        <v>2018</v>
      </c>
      <c r="F270">
        <v>199.99</v>
      </c>
      <c r="G270" s="1" t="str">
        <f>_xlfn.XLOOKUP(D270,category!A:A,category!B:B,"not found",0)</f>
        <v>Children Bicycles</v>
      </c>
      <c r="H270" s="1">
        <f>(order_items!D270*order_items!E270)-order_items!F270</f>
        <v>428.95</v>
      </c>
    </row>
    <row r="271" spans="1:8" x14ac:dyDescent="0.25">
      <c r="A271">
        <v>270</v>
      </c>
      <c r="B271" t="s">
        <v>266</v>
      </c>
      <c r="C271">
        <v>9</v>
      </c>
      <c r="D271">
        <v>1</v>
      </c>
      <c r="E271">
        <v>2018</v>
      </c>
      <c r="F271">
        <v>209.99</v>
      </c>
      <c r="G271" s="1" t="str">
        <f>_xlfn.XLOOKUP(D271,category!A:A,category!B:B,"not found",0)</f>
        <v>Children Bicycles</v>
      </c>
      <c r="H271" s="1">
        <f>(order_items!D271*order_items!E271)-order_items!F271</f>
        <v>269.89</v>
      </c>
    </row>
    <row r="272" spans="1:8" x14ac:dyDescent="0.25">
      <c r="A272">
        <v>271</v>
      </c>
      <c r="B272" t="s">
        <v>267</v>
      </c>
      <c r="C272">
        <v>9</v>
      </c>
      <c r="D272">
        <v>1</v>
      </c>
      <c r="E272">
        <v>2018</v>
      </c>
      <c r="F272">
        <v>209.99</v>
      </c>
      <c r="G272" s="1" t="str">
        <f>_xlfn.XLOOKUP(D272,category!A:A,category!B:B,"not found",0)</f>
        <v>Children Bicycles</v>
      </c>
      <c r="H272" s="1">
        <f>(order_items!D272*order_items!E272)-order_items!F272</f>
        <v>749.79</v>
      </c>
    </row>
    <row r="273" spans="1:8" x14ac:dyDescent="0.25">
      <c r="A273">
        <v>272</v>
      </c>
      <c r="B273" t="s">
        <v>268</v>
      </c>
      <c r="C273">
        <v>9</v>
      </c>
      <c r="D273">
        <v>1</v>
      </c>
      <c r="E273">
        <v>2018</v>
      </c>
      <c r="F273">
        <v>289.99</v>
      </c>
      <c r="G273" s="1" t="str">
        <f>_xlfn.XLOOKUP(D273,category!A:A,category!B:B,"not found",0)</f>
        <v>Children Bicycles</v>
      </c>
      <c r="H273" s="1">
        <f>(order_items!D273*order_items!E273)-order_items!F273</f>
        <v>3097.93</v>
      </c>
    </row>
    <row r="274" spans="1:8" x14ac:dyDescent="0.25">
      <c r="A274">
        <v>273</v>
      </c>
      <c r="B274" t="s">
        <v>269</v>
      </c>
      <c r="C274">
        <v>9</v>
      </c>
      <c r="D274">
        <v>1</v>
      </c>
      <c r="E274">
        <v>2018</v>
      </c>
      <c r="F274">
        <v>289.99</v>
      </c>
      <c r="G274" s="1" t="str">
        <f>_xlfn.XLOOKUP(D274,category!A:A,category!B:B,"not found",0)</f>
        <v>Children Bicycles</v>
      </c>
      <c r="H274" s="1">
        <f>(order_items!D274*order_items!E274)-order_items!F274</f>
        <v>549.94000000000005</v>
      </c>
    </row>
    <row r="275" spans="1:8" x14ac:dyDescent="0.25">
      <c r="A275">
        <v>274</v>
      </c>
      <c r="B275" t="s">
        <v>270</v>
      </c>
      <c r="C275">
        <v>9</v>
      </c>
      <c r="D275">
        <v>1</v>
      </c>
      <c r="E275">
        <v>2018</v>
      </c>
      <c r="F275">
        <v>229.99</v>
      </c>
      <c r="G275" s="1" t="str">
        <f>_xlfn.XLOOKUP(D275,category!A:A,category!B:B,"not found",0)</f>
        <v>Children Bicycles</v>
      </c>
      <c r="H275" s="1">
        <f>(order_items!D275*order_items!E275)-order_items!F275</f>
        <v>2899.79</v>
      </c>
    </row>
    <row r="276" spans="1:8" x14ac:dyDescent="0.25">
      <c r="A276">
        <v>275</v>
      </c>
      <c r="B276" t="s">
        <v>271</v>
      </c>
      <c r="C276">
        <v>9</v>
      </c>
      <c r="D276">
        <v>1</v>
      </c>
      <c r="E276">
        <v>2018</v>
      </c>
      <c r="F276">
        <v>229.99</v>
      </c>
      <c r="G276" s="1" t="str">
        <f>_xlfn.XLOOKUP(D276,category!A:A,category!B:B,"not found",0)</f>
        <v>Children Bicycles</v>
      </c>
      <c r="H276" s="1">
        <f>(order_items!D276*order_items!E276)-order_items!F276</f>
        <v>1680.79</v>
      </c>
    </row>
    <row r="277" spans="1:8" x14ac:dyDescent="0.25">
      <c r="A277">
        <v>276</v>
      </c>
      <c r="B277" t="s">
        <v>272</v>
      </c>
      <c r="C277">
        <v>9</v>
      </c>
      <c r="D277">
        <v>1</v>
      </c>
      <c r="E277">
        <v>2018</v>
      </c>
      <c r="F277">
        <v>319.99</v>
      </c>
      <c r="G277" s="1" t="str">
        <f>_xlfn.XLOOKUP(D277,category!A:A,category!B:B,"not found",0)</f>
        <v>Children Bicycles</v>
      </c>
      <c r="H277" s="1">
        <f>(order_items!D277*order_items!E277)-order_items!F277</f>
        <v>539.91</v>
      </c>
    </row>
    <row r="278" spans="1:8" x14ac:dyDescent="0.25">
      <c r="A278">
        <v>277</v>
      </c>
      <c r="B278" t="s">
        <v>273</v>
      </c>
      <c r="C278">
        <v>9</v>
      </c>
      <c r="D278">
        <v>1</v>
      </c>
      <c r="E278">
        <v>2018</v>
      </c>
      <c r="F278">
        <v>369.99</v>
      </c>
      <c r="G278" s="1" t="str">
        <f>_xlfn.XLOOKUP(D278,category!A:A,category!B:B,"not found",0)</f>
        <v>Children Bicycles</v>
      </c>
      <c r="H278" s="1">
        <f>(order_items!D278*order_items!E278)-order_items!F278</f>
        <v>3097.8</v>
      </c>
    </row>
    <row r="279" spans="1:8" x14ac:dyDescent="0.25">
      <c r="A279">
        <v>278</v>
      </c>
      <c r="B279" t="s">
        <v>274</v>
      </c>
      <c r="C279">
        <v>9</v>
      </c>
      <c r="D279">
        <v>1</v>
      </c>
      <c r="E279">
        <v>2018</v>
      </c>
      <c r="F279">
        <v>369.99</v>
      </c>
      <c r="G279" s="1" t="str">
        <f>_xlfn.XLOOKUP(D279,category!A:A,category!B:B,"not found",0)</f>
        <v>Children Bicycles</v>
      </c>
      <c r="H279" s="1">
        <f>(order_items!D279*order_items!E279)-order_items!F279</f>
        <v>448.9</v>
      </c>
    </row>
    <row r="280" spans="1:8" x14ac:dyDescent="0.25">
      <c r="A280">
        <v>279</v>
      </c>
      <c r="B280" t="s">
        <v>275</v>
      </c>
      <c r="C280">
        <v>9</v>
      </c>
      <c r="D280">
        <v>1</v>
      </c>
      <c r="E280">
        <v>2018</v>
      </c>
      <c r="F280">
        <v>319.99</v>
      </c>
      <c r="G280" s="1" t="str">
        <f>_xlfn.XLOOKUP(D280,category!A:A,category!B:B,"not found",0)</f>
        <v>Children Bicycles</v>
      </c>
      <c r="H280" s="1">
        <f>(order_items!D280*order_items!E280)-order_items!F280</f>
        <v>3599.78</v>
      </c>
    </row>
    <row r="281" spans="1:8" x14ac:dyDescent="0.25">
      <c r="A281">
        <v>280</v>
      </c>
      <c r="B281" t="s">
        <v>276</v>
      </c>
      <c r="C281">
        <v>9</v>
      </c>
      <c r="D281">
        <v>1</v>
      </c>
      <c r="E281">
        <v>2018</v>
      </c>
      <c r="F281">
        <v>489.99</v>
      </c>
      <c r="G281" s="1" t="str">
        <f>_xlfn.XLOOKUP(D281,category!A:A,category!B:B,"not found",0)</f>
        <v>Children Bicycles</v>
      </c>
      <c r="H281" s="1">
        <f>(order_items!D281*order_items!E281)-order_items!F281</f>
        <v>1199.93</v>
      </c>
    </row>
    <row r="282" spans="1:8" x14ac:dyDescent="0.25">
      <c r="A282">
        <v>281</v>
      </c>
      <c r="B282" t="s">
        <v>227</v>
      </c>
      <c r="C282">
        <v>1</v>
      </c>
      <c r="D282">
        <v>1</v>
      </c>
      <c r="E282">
        <v>2018</v>
      </c>
      <c r="F282">
        <v>319.99</v>
      </c>
      <c r="G282" s="1" t="str">
        <f>_xlfn.XLOOKUP(D282,category!A:A,category!B:B,"not found",0)</f>
        <v>Children Bicycles</v>
      </c>
      <c r="H282" s="1">
        <f>(order_items!D282*order_items!E282)-order_items!F282</f>
        <v>599.89</v>
      </c>
    </row>
    <row r="283" spans="1:8" x14ac:dyDescent="0.25">
      <c r="A283">
        <v>282</v>
      </c>
      <c r="B283" t="s">
        <v>277</v>
      </c>
      <c r="C283">
        <v>1</v>
      </c>
      <c r="D283">
        <v>1</v>
      </c>
      <c r="E283">
        <v>2018</v>
      </c>
      <c r="F283">
        <v>279.99</v>
      </c>
      <c r="G283" s="1" t="str">
        <f>_xlfn.XLOOKUP(D283,category!A:A,category!B:B,"not found",0)</f>
        <v>Children Bicycles</v>
      </c>
      <c r="H283" s="1">
        <f>(order_items!D283*order_items!E283)-order_items!F283</f>
        <v>299.94</v>
      </c>
    </row>
    <row r="284" spans="1:8" x14ac:dyDescent="0.25">
      <c r="A284">
        <v>283</v>
      </c>
      <c r="B284" t="s">
        <v>278</v>
      </c>
      <c r="C284">
        <v>1</v>
      </c>
      <c r="D284">
        <v>1</v>
      </c>
      <c r="E284">
        <v>2018</v>
      </c>
      <c r="F284">
        <v>319.99</v>
      </c>
      <c r="G284" s="1" t="str">
        <f>_xlfn.XLOOKUP(D284,category!A:A,category!B:B,"not found",0)</f>
        <v>Children Bicycles</v>
      </c>
      <c r="H284" s="1">
        <f>(order_items!D284*order_items!E284)-order_items!F284</f>
        <v>1199.78</v>
      </c>
    </row>
    <row r="285" spans="1:8" x14ac:dyDescent="0.25">
      <c r="A285">
        <v>284</v>
      </c>
      <c r="B285" t="s">
        <v>279</v>
      </c>
      <c r="C285">
        <v>1</v>
      </c>
      <c r="D285">
        <v>1</v>
      </c>
      <c r="E285">
        <v>2018</v>
      </c>
      <c r="F285">
        <v>319.99</v>
      </c>
      <c r="G285" s="1" t="str">
        <f>_xlfn.XLOOKUP(D285,category!A:A,category!B:B,"not found",0)</f>
        <v>Children Bicycles</v>
      </c>
      <c r="H285" s="1">
        <f>(order_items!D285*order_items!E285)-order_items!F285</f>
        <v>749.92</v>
      </c>
    </row>
    <row r="286" spans="1:8" x14ac:dyDescent="0.25">
      <c r="A286">
        <v>285</v>
      </c>
      <c r="B286" t="s">
        <v>280</v>
      </c>
      <c r="C286">
        <v>1</v>
      </c>
      <c r="D286">
        <v>1</v>
      </c>
      <c r="E286">
        <v>2018</v>
      </c>
      <c r="F286">
        <v>279.99</v>
      </c>
      <c r="G286" s="1" t="str">
        <f>_xlfn.XLOOKUP(D286,category!A:A,category!B:B,"not found",0)</f>
        <v>Children Bicycles</v>
      </c>
      <c r="H286" s="1">
        <f>(order_items!D286*order_items!E286)-order_items!F286</f>
        <v>939.78</v>
      </c>
    </row>
    <row r="287" spans="1:8" x14ac:dyDescent="0.25">
      <c r="A287">
        <v>286</v>
      </c>
      <c r="B287" t="s">
        <v>281</v>
      </c>
      <c r="C287">
        <v>1</v>
      </c>
      <c r="D287">
        <v>1</v>
      </c>
      <c r="E287">
        <v>2018</v>
      </c>
      <c r="F287">
        <v>279.99</v>
      </c>
      <c r="G287" s="1" t="str">
        <f>_xlfn.XLOOKUP(D287,category!A:A,category!B:B,"not found",0)</f>
        <v>Children Bicycles</v>
      </c>
      <c r="H287" s="1">
        <f>(order_items!D287*order_items!E287)-order_items!F287</f>
        <v>448.9</v>
      </c>
    </row>
    <row r="288" spans="1:8" x14ac:dyDescent="0.25">
      <c r="A288">
        <v>287</v>
      </c>
      <c r="B288" t="s">
        <v>282</v>
      </c>
      <c r="C288">
        <v>1</v>
      </c>
      <c r="D288">
        <v>1</v>
      </c>
      <c r="E288">
        <v>2018</v>
      </c>
      <c r="F288">
        <v>279.99</v>
      </c>
      <c r="G288" s="1" t="str">
        <f>_xlfn.XLOOKUP(D288,category!A:A,category!B:B,"not found",0)</f>
        <v>Children Bicycles</v>
      </c>
      <c r="H288" s="1">
        <f>(order_items!D288*order_items!E288)-order_items!F288</f>
        <v>448.93</v>
      </c>
    </row>
    <row r="289" spans="1:8" x14ac:dyDescent="0.25">
      <c r="A289">
        <v>288</v>
      </c>
      <c r="B289" t="s">
        <v>283</v>
      </c>
      <c r="C289">
        <v>1</v>
      </c>
      <c r="D289">
        <v>1</v>
      </c>
      <c r="E289">
        <v>2018</v>
      </c>
      <c r="F289">
        <v>389.99</v>
      </c>
      <c r="G289" s="1" t="str">
        <f>_xlfn.XLOOKUP(D289,category!A:A,category!B:B,"not found",0)</f>
        <v>Children Bicycles</v>
      </c>
      <c r="H289" s="1">
        <f>(order_items!D289*order_items!E289)-order_items!F289</f>
        <v>269.89</v>
      </c>
    </row>
    <row r="290" spans="1:8" x14ac:dyDescent="0.25">
      <c r="A290">
        <v>289</v>
      </c>
      <c r="B290" t="s">
        <v>284</v>
      </c>
      <c r="C290">
        <v>1</v>
      </c>
      <c r="D290">
        <v>1</v>
      </c>
      <c r="E290">
        <v>2018</v>
      </c>
      <c r="F290">
        <v>319.99</v>
      </c>
      <c r="G290" s="1" t="str">
        <f>_xlfn.XLOOKUP(D290,category!A:A,category!B:B,"not found",0)</f>
        <v>Children Bicycles</v>
      </c>
      <c r="H290" s="1">
        <f>(order_items!D290*order_items!E290)-order_items!F290</f>
        <v>749.79</v>
      </c>
    </row>
    <row r="291" spans="1:8" x14ac:dyDescent="0.25">
      <c r="A291">
        <v>290</v>
      </c>
      <c r="B291" t="s">
        <v>285</v>
      </c>
      <c r="C291">
        <v>1</v>
      </c>
      <c r="D291">
        <v>1</v>
      </c>
      <c r="E291">
        <v>2018</v>
      </c>
      <c r="F291">
        <v>369.99</v>
      </c>
      <c r="G291" s="1" t="str">
        <f>_xlfn.XLOOKUP(D291,category!A:A,category!B:B,"not found",0)</f>
        <v>Children Bicycles</v>
      </c>
      <c r="H291" s="1">
        <f>(order_items!D291*order_items!E291)-order_items!F291</f>
        <v>539.78</v>
      </c>
    </row>
    <row r="292" spans="1:8" x14ac:dyDescent="0.25">
      <c r="A292">
        <v>291</v>
      </c>
      <c r="B292" t="s">
        <v>286</v>
      </c>
      <c r="C292">
        <v>1</v>
      </c>
      <c r="D292">
        <v>1</v>
      </c>
      <c r="E292">
        <v>2018</v>
      </c>
      <c r="F292">
        <v>319.99</v>
      </c>
      <c r="G292" s="1" t="str">
        <f>_xlfn.XLOOKUP(D292,category!A:A,category!B:B,"not found",0)</f>
        <v>Children Bicycles</v>
      </c>
      <c r="H292" s="1">
        <f>(order_items!D292*order_items!E292)-order_items!F292</f>
        <v>269.79000000000002</v>
      </c>
    </row>
    <row r="293" spans="1:8" x14ac:dyDescent="0.25">
      <c r="A293">
        <v>292</v>
      </c>
      <c r="B293" t="s">
        <v>287</v>
      </c>
      <c r="C293">
        <v>1</v>
      </c>
      <c r="D293">
        <v>1</v>
      </c>
      <c r="E293">
        <v>2018</v>
      </c>
      <c r="F293">
        <v>369.99</v>
      </c>
      <c r="G293" s="1" t="str">
        <f>_xlfn.XLOOKUP(D293,category!A:A,category!B:B,"not found",0)</f>
        <v>Children Bicycles</v>
      </c>
      <c r="H293" s="1">
        <f>(order_items!D293*order_items!E293)-order_items!F293</f>
        <v>269.79000000000002</v>
      </c>
    </row>
    <row r="294" spans="1:8" x14ac:dyDescent="0.25">
      <c r="A294">
        <v>293</v>
      </c>
      <c r="B294" t="s">
        <v>288</v>
      </c>
      <c r="C294">
        <v>1</v>
      </c>
      <c r="D294">
        <v>1</v>
      </c>
      <c r="E294">
        <v>2018</v>
      </c>
      <c r="F294">
        <v>319.99</v>
      </c>
      <c r="G294" s="1" t="str">
        <f>_xlfn.XLOOKUP(D294,category!A:A,category!B:B,"not found",0)</f>
        <v>Children Bicycles</v>
      </c>
      <c r="H294" s="1">
        <f>(order_items!D294*order_items!E294)-order_items!F294</f>
        <v>999.93000000000006</v>
      </c>
    </row>
    <row r="295" spans="1:8" x14ac:dyDescent="0.25">
      <c r="A295">
        <v>294</v>
      </c>
      <c r="B295" t="s">
        <v>289</v>
      </c>
      <c r="C295">
        <v>1</v>
      </c>
      <c r="D295">
        <v>1</v>
      </c>
      <c r="E295">
        <v>2018</v>
      </c>
      <c r="F295">
        <v>369.99</v>
      </c>
      <c r="G295" s="1" t="str">
        <f>_xlfn.XLOOKUP(D295,category!A:A,category!B:B,"not found",0)</f>
        <v>Children Bicycles</v>
      </c>
      <c r="H295" s="1">
        <f>(order_items!D295*order_items!E295)-order_items!F295</f>
        <v>7999.91</v>
      </c>
    </row>
    <row r="296" spans="1:8" x14ac:dyDescent="0.25">
      <c r="A296">
        <v>295</v>
      </c>
      <c r="B296" t="s">
        <v>290</v>
      </c>
      <c r="C296">
        <v>1</v>
      </c>
      <c r="D296">
        <v>1</v>
      </c>
      <c r="E296">
        <v>2018</v>
      </c>
      <c r="F296">
        <v>319.99</v>
      </c>
      <c r="G296" s="1" t="str">
        <f>_xlfn.XLOOKUP(D296,category!A:A,category!B:B,"not found",0)</f>
        <v>Children Bicycles</v>
      </c>
      <c r="H296" s="1">
        <f>(order_items!D296*order_items!E296)-order_items!F296</f>
        <v>599.78</v>
      </c>
    </row>
    <row r="297" spans="1:8" x14ac:dyDescent="0.25">
      <c r="A297">
        <v>296</v>
      </c>
      <c r="B297" t="s">
        <v>291</v>
      </c>
      <c r="C297">
        <v>1</v>
      </c>
      <c r="D297">
        <v>1</v>
      </c>
      <c r="E297">
        <v>2018</v>
      </c>
      <c r="F297">
        <v>369.99</v>
      </c>
      <c r="G297" s="1" t="str">
        <f>_xlfn.XLOOKUP(D297,category!A:A,category!B:B,"not found",0)</f>
        <v>Children Bicycles</v>
      </c>
      <c r="H297" s="1">
        <f>(order_items!D297*order_items!E297)-order_items!F297</f>
        <v>1099.93</v>
      </c>
    </row>
    <row r="298" spans="1:8" x14ac:dyDescent="0.25">
      <c r="A298">
        <v>297</v>
      </c>
      <c r="B298" t="s">
        <v>292</v>
      </c>
      <c r="C298">
        <v>1</v>
      </c>
      <c r="D298">
        <v>1</v>
      </c>
      <c r="E298">
        <v>2018</v>
      </c>
      <c r="F298">
        <v>279.99</v>
      </c>
      <c r="G298" s="1" t="str">
        <f>_xlfn.XLOOKUP(D298,category!A:A,category!B:B,"not found",0)</f>
        <v>Children Bicycles</v>
      </c>
      <c r="H298" s="1">
        <f>(order_items!D298*order_items!E298)-order_items!F298</f>
        <v>3361.88</v>
      </c>
    </row>
    <row r="299" spans="1:8" x14ac:dyDescent="0.25">
      <c r="A299">
        <v>298</v>
      </c>
      <c r="B299" t="s">
        <v>293</v>
      </c>
      <c r="C299">
        <v>1</v>
      </c>
      <c r="D299">
        <v>1</v>
      </c>
      <c r="E299">
        <v>2018</v>
      </c>
      <c r="F299">
        <v>279.99</v>
      </c>
      <c r="G299" s="1" t="str">
        <f>_xlfn.XLOOKUP(D299,category!A:A,category!B:B,"not found",0)</f>
        <v>Children Bicycles</v>
      </c>
      <c r="H299" s="1">
        <f>(order_items!D299*order_items!E299)-order_items!F299</f>
        <v>7999.78</v>
      </c>
    </row>
    <row r="300" spans="1:8" x14ac:dyDescent="0.25">
      <c r="A300">
        <v>299</v>
      </c>
      <c r="B300" t="s">
        <v>212</v>
      </c>
      <c r="C300">
        <v>1</v>
      </c>
      <c r="D300">
        <v>2</v>
      </c>
      <c r="E300">
        <v>2018</v>
      </c>
      <c r="F300">
        <v>559.99</v>
      </c>
      <c r="G300" s="1" t="str">
        <f>_xlfn.XLOOKUP(D300,category!A:A,category!B:B,"not found",0)</f>
        <v>Comfort Bicycles</v>
      </c>
      <c r="H300" s="1">
        <f>(order_items!D300*order_items!E300)-order_items!F300</f>
        <v>1199.78</v>
      </c>
    </row>
    <row r="301" spans="1:8" x14ac:dyDescent="0.25">
      <c r="A301">
        <v>300</v>
      </c>
      <c r="B301" t="s">
        <v>256</v>
      </c>
      <c r="C301">
        <v>1</v>
      </c>
      <c r="D301">
        <v>2</v>
      </c>
      <c r="E301">
        <v>2018</v>
      </c>
      <c r="F301">
        <v>799.99</v>
      </c>
      <c r="G301" s="1" t="str">
        <f>_xlfn.XLOOKUP(D301,category!A:A,category!B:B,"not found",0)</f>
        <v>Comfort Bicycles</v>
      </c>
      <c r="H301" s="1">
        <f>(order_items!D301*order_items!E301)-order_items!F301</f>
        <v>1099.8800000000001</v>
      </c>
    </row>
    <row r="302" spans="1:8" x14ac:dyDescent="0.25">
      <c r="A302">
        <v>301</v>
      </c>
      <c r="B302" t="s">
        <v>257</v>
      </c>
      <c r="C302">
        <v>1</v>
      </c>
      <c r="D302">
        <v>2</v>
      </c>
      <c r="E302">
        <v>2018</v>
      </c>
      <c r="F302">
        <v>899.99</v>
      </c>
      <c r="G302" s="1" t="str">
        <f>_xlfn.XLOOKUP(D302,category!A:A,category!B:B,"not found",0)</f>
        <v>Comfort Bicycles</v>
      </c>
      <c r="H302" s="1">
        <f>(order_items!D302*order_items!E302)-order_items!F302</f>
        <v>1099.78</v>
      </c>
    </row>
    <row r="303" spans="1:8" x14ac:dyDescent="0.25">
      <c r="A303">
        <v>302</v>
      </c>
      <c r="B303" t="s">
        <v>294</v>
      </c>
      <c r="C303">
        <v>1</v>
      </c>
      <c r="D303">
        <v>2</v>
      </c>
      <c r="E303">
        <v>2018</v>
      </c>
      <c r="F303">
        <v>449.99</v>
      </c>
      <c r="G303" s="1" t="str">
        <f>_xlfn.XLOOKUP(D303,category!A:A,category!B:B,"not found",0)</f>
        <v>Comfort Bicycles</v>
      </c>
      <c r="H303" s="1">
        <f>(order_items!D303*order_items!E303)-order_items!F303</f>
        <v>529.94000000000005</v>
      </c>
    </row>
    <row r="304" spans="1:8" x14ac:dyDescent="0.25">
      <c r="A304">
        <v>303</v>
      </c>
      <c r="B304" t="s">
        <v>194</v>
      </c>
      <c r="C304">
        <v>1</v>
      </c>
      <c r="D304">
        <v>2</v>
      </c>
      <c r="E304">
        <v>2018</v>
      </c>
      <c r="F304">
        <v>2599.9899999999998</v>
      </c>
      <c r="G304" s="1" t="str">
        <f>_xlfn.XLOOKUP(D304,category!A:A,category!B:B,"not found",0)</f>
        <v>Comfort Bicycles</v>
      </c>
      <c r="H304" s="1">
        <f>(order_items!D304*order_items!E304)-order_items!F304</f>
        <v>269.92</v>
      </c>
    </row>
    <row r="305" spans="1:8" x14ac:dyDescent="0.25">
      <c r="A305">
        <v>304</v>
      </c>
      <c r="B305" t="s">
        <v>226</v>
      </c>
      <c r="C305">
        <v>1</v>
      </c>
      <c r="D305">
        <v>2</v>
      </c>
      <c r="E305">
        <v>2018</v>
      </c>
      <c r="F305">
        <v>679.99</v>
      </c>
      <c r="G305" s="1" t="str">
        <f>_xlfn.XLOOKUP(D305,category!A:A,category!B:B,"not found",0)</f>
        <v>Comfort Bicycles</v>
      </c>
      <c r="H305" s="1">
        <f>(order_items!D305*order_items!E305)-order_items!F305</f>
        <v>428.93</v>
      </c>
    </row>
    <row r="306" spans="1:8" x14ac:dyDescent="0.25">
      <c r="A306">
        <v>305</v>
      </c>
      <c r="B306" t="s">
        <v>250</v>
      </c>
      <c r="C306">
        <v>1</v>
      </c>
      <c r="D306">
        <v>2</v>
      </c>
      <c r="E306">
        <v>2018</v>
      </c>
      <c r="F306">
        <v>749.99</v>
      </c>
      <c r="G306" s="1" t="str">
        <f>_xlfn.XLOOKUP(D306,category!A:A,category!B:B,"not found",0)</f>
        <v>Comfort Bicycles</v>
      </c>
      <c r="H306" s="1">
        <f>(order_items!D306*order_items!E306)-order_items!F306</f>
        <v>999.94</v>
      </c>
    </row>
    <row r="307" spans="1:8" x14ac:dyDescent="0.25">
      <c r="A307">
        <v>306</v>
      </c>
      <c r="B307" t="s">
        <v>251</v>
      </c>
      <c r="C307">
        <v>1</v>
      </c>
      <c r="D307">
        <v>2</v>
      </c>
      <c r="E307">
        <v>2018</v>
      </c>
      <c r="F307">
        <v>899.99</v>
      </c>
      <c r="G307" s="1" t="str">
        <f>_xlfn.XLOOKUP(D307,category!A:A,category!B:B,"not found",0)</f>
        <v>Comfort Bicycles</v>
      </c>
      <c r="H307" s="1">
        <f>(order_items!D307*order_items!E307)-order_items!F307</f>
        <v>448.8</v>
      </c>
    </row>
    <row r="308" spans="1:8" x14ac:dyDescent="0.25">
      <c r="A308">
        <v>307</v>
      </c>
      <c r="B308" t="s">
        <v>238</v>
      </c>
      <c r="C308">
        <v>1</v>
      </c>
      <c r="D308">
        <v>2</v>
      </c>
      <c r="E308">
        <v>2018</v>
      </c>
      <c r="F308">
        <v>749.99</v>
      </c>
      <c r="G308" s="1" t="str">
        <f>_xlfn.XLOOKUP(D308,category!A:A,category!B:B,"not found",0)</f>
        <v>Comfort Bicycles</v>
      </c>
      <c r="H308" s="1">
        <f>(order_items!D308*order_items!E308)-order_items!F308</f>
        <v>1059.8800000000001</v>
      </c>
    </row>
    <row r="309" spans="1:8" x14ac:dyDescent="0.25">
      <c r="A309">
        <v>308</v>
      </c>
      <c r="B309" t="s">
        <v>239</v>
      </c>
      <c r="C309">
        <v>1</v>
      </c>
      <c r="D309">
        <v>2</v>
      </c>
      <c r="E309">
        <v>2018</v>
      </c>
      <c r="F309">
        <v>749.99</v>
      </c>
      <c r="G309" s="1" t="str">
        <f>_xlfn.XLOOKUP(D309,category!A:A,category!B:B,"not found",0)</f>
        <v>Comfort Bicycles</v>
      </c>
      <c r="H309" s="1">
        <f>(order_items!D309*order_items!E309)-order_items!F309</f>
        <v>5999.8799999999992</v>
      </c>
    </row>
    <row r="310" spans="1:8" x14ac:dyDescent="0.25">
      <c r="A310">
        <v>309</v>
      </c>
      <c r="B310" t="s">
        <v>252</v>
      </c>
      <c r="C310">
        <v>1</v>
      </c>
      <c r="D310">
        <v>2</v>
      </c>
      <c r="E310">
        <v>2018</v>
      </c>
      <c r="F310">
        <v>899.99</v>
      </c>
      <c r="G310" s="1" t="str">
        <f>_xlfn.XLOOKUP(D310,category!A:A,category!B:B,"not found",0)</f>
        <v>Comfort Bicycles</v>
      </c>
      <c r="H310" s="1">
        <f>(order_items!D310*order_items!E310)-order_items!F310</f>
        <v>897.9</v>
      </c>
    </row>
    <row r="311" spans="1:8" x14ac:dyDescent="0.25">
      <c r="A311">
        <v>310</v>
      </c>
      <c r="B311" t="s">
        <v>240</v>
      </c>
      <c r="C311">
        <v>1</v>
      </c>
      <c r="D311">
        <v>2</v>
      </c>
      <c r="E311">
        <v>2018</v>
      </c>
      <c r="F311">
        <v>899.99</v>
      </c>
      <c r="G311" s="1" t="str">
        <f>_xlfn.XLOOKUP(D311,category!A:A,category!B:B,"not found",0)</f>
        <v>Comfort Bicycles</v>
      </c>
      <c r="H311" s="1">
        <f>(order_items!D311*order_items!E311)-order_items!F311</f>
        <v>599.94000000000005</v>
      </c>
    </row>
    <row r="312" spans="1:8" x14ac:dyDescent="0.25">
      <c r="A312">
        <v>311</v>
      </c>
      <c r="B312" t="s">
        <v>241</v>
      </c>
      <c r="C312">
        <v>1</v>
      </c>
      <c r="D312">
        <v>2</v>
      </c>
      <c r="E312">
        <v>2018</v>
      </c>
      <c r="F312">
        <v>749.99</v>
      </c>
      <c r="G312" s="1" t="str">
        <f>_xlfn.XLOOKUP(D312,category!A:A,category!B:B,"not found",0)</f>
        <v>Comfort Bicycles</v>
      </c>
      <c r="H312" s="1">
        <f>(order_items!D312*order_items!E312)-order_items!F312</f>
        <v>3361.78</v>
      </c>
    </row>
    <row r="313" spans="1:8" x14ac:dyDescent="0.25">
      <c r="A313">
        <v>312</v>
      </c>
      <c r="B313" t="s">
        <v>242</v>
      </c>
      <c r="C313">
        <v>1</v>
      </c>
      <c r="D313">
        <v>2</v>
      </c>
      <c r="E313">
        <v>2018</v>
      </c>
      <c r="F313">
        <v>699.99</v>
      </c>
      <c r="G313" s="1" t="str">
        <f>_xlfn.XLOOKUP(D313,category!A:A,category!B:B,"not found",0)</f>
        <v>Comfort Bicycles</v>
      </c>
      <c r="H313" s="1">
        <f>(order_items!D313*order_items!E313)-order_items!F313</f>
        <v>999.94</v>
      </c>
    </row>
    <row r="314" spans="1:8" x14ac:dyDescent="0.25">
      <c r="A314">
        <v>313</v>
      </c>
      <c r="B314" t="s">
        <v>295</v>
      </c>
      <c r="C314">
        <v>1</v>
      </c>
      <c r="D314">
        <v>2</v>
      </c>
      <c r="E314">
        <v>2018</v>
      </c>
      <c r="F314">
        <v>449.99</v>
      </c>
      <c r="G314" s="1" t="str">
        <f>_xlfn.XLOOKUP(D314,category!A:A,category!B:B,"not found",0)</f>
        <v>Comfort Bicycles</v>
      </c>
      <c r="H314" s="1">
        <f>(order_items!D314*order_items!E314)-order_items!F314</f>
        <v>2999.9399999999996</v>
      </c>
    </row>
    <row r="315" spans="1:8" x14ac:dyDescent="0.25">
      <c r="A315">
        <v>314</v>
      </c>
      <c r="B315" t="s">
        <v>243</v>
      </c>
      <c r="C315">
        <v>1</v>
      </c>
      <c r="D315">
        <v>2</v>
      </c>
      <c r="E315">
        <v>2018</v>
      </c>
      <c r="F315">
        <v>679.99</v>
      </c>
      <c r="G315" s="1" t="str">
        <f>_xlfn.XLOOKUP(D315,category!A:A,category!B:B,"not found",0)</f>
        <v>Comfort Bicycles</v>
      </c>
      <c r="H315" s="1">
        <f>(order_items!D315*order_items!E315)-order_items!F315</f>
        <v>428.9</v>
      </c>
    </row>
    <row r="316" spans="1:8" x14ac:dyDescent="0.25">
      <c r="A316">
        <v>315</v>
      </c>
      <c r="B316" t="s">
        <v>244</v>
      </c>
      <c r="C316">
        <v>1</v>
      </c>
      <c r="D316">
        <v>2</v>
      </c>
      <c r="E316">
        <v>2018</v>
      </c>
      <c r="F316">
        <v>559.99</v>
      </c>
      <c r="G316" s="1" t="str">
        <f>_xlfn.XLOOKUP(D316,category!A:A,category!B:B,"not found",0)</f>
        <v>Comfort Bicycles</v>
      </c>
      <c r="H316" s="1">
        <f>(order_items!D316*order_items!E316)-order_items!F316</f>
        <v>539.88</v>
      </c>
    </row>
    <row r="317" spans="1:8" x14ac:dyDescent="0.25">
      <c r="A317">
        <v>316</v>
      </c>
      <c r="B317" t="s">
        <v>296</v>
      </c>
      <c r="C317">
        <v>9</v>
      </c>
      <c r="D317">
        <v>7</v>
      </c>
      <c r="E317">
        <v>2019</v>
      </c>
      <c r="F317">
        <v>1699.99</v>
      </c>
      <c r="G317" s="1" t="str">
        <f>_xlfn.XLOOKUP(D317,category!A:A,category!B:B,"not found",0)</f>
        <v>Road Bikes</v>
      </c>
      <c r="H317" s="1">
        <f>(order_items!D317*order_items!E317)-order_items!F317</f>
        <v>448.8</v>
      </c>
    </row>
    <row r="318" spans="1:8" x14ac:dyDescent="0.25">
      <c r="A318">
        <v>317</v>
      </c>
      <c r="B318" t="s">
        <v>297</v>
      </c>
      <c r="C318">
        <v>9</v>
      </c>
      <c r="D318">
        <v>7</v>
      </c>
      <c r="E318">
        <v>2019</v>
      </c>
      <c r="F318">
        <v>1999.99</v>
      </c>
      <c r="G318" s="1" t="str">
        <f>_xlfn.XLOOKUP(D318,category!A:A,category!B:B,"not found",0)</f>
        <v>Road Bikes</v>
      </c>
      <c r="H318" s="1">
        <f>(order_items!D318*order_items!E318)-order_items!F318</f>
        <v>539.88</v>
      </c>
    </row>
    <row r="319" spans="1:8" x14ac:dyDescent="0.25">
      <c r="A319">
        <v>318</v>
      </c>
      <c r="B319" t="s">
        <v>298</v>
      </c>
      <c r="C319">
        <v>9</v>
      </c>
      <c r="D319">
        <v>7</v>
      </c>
      <c r="E319">
        <v>2019</v>
      </c>
      <c r="F319">
        <v>1999.99</v>
      </c>
      <c r="G319" s="1" t="str">
        <f>_xlfn.XLOOKUP(D319,category!A:A,category!B:B,"not found",0)</f>
        <v>Road Bikes</v>
      </c>
      <c r="H319" s="1">
        <f>(order_items!D319*order_items!E319)-order_items!F319</f>
        <v>1680.89</v>
      </c>
    </row>
    <row r="320" spans="1:8" x14ac:dyDescent="0.25">
      <c r="A320">
        <v>319</v>
      </c>
      <c r="B320" t="s">
        <v>299</v>
      </c>
      <c r="C320">
        <v>9</v>
      </c>
      <c r="D320">
        <v>7</v>
      </c>
      <c r="E320">
        <v>2019</v>
      </c>
      <c r="F320">
        <v>2799.99</v>
      </c>
      <c r="G320" s="1" t="str">
        <f>_xlfn.XLOOKUP(D320,category!A:A,category!B:B,"not found",0)</f>
        <v>Road Bikes</v>
      </c>
      <c r="H320" s="1">
        <f>(order_items!D320*order_items!E320)-order_items!F320</f>
        <v>539.91</v>
      </c>
    </row>
    <row r="321" spans="1:8" x14ac:dyDescent="0.25">
      <c r="A321">
        <v>320</v>
      </c>
      <c r="B321" t="s">
        <v>300</v>
      </c>
      <c r="C321">
        <v>9</v>
      </c>
      <c r="D321">
        <v>7</v>
      </c>
      <c r="E321">
        <v>2019</v>
      </c>
      <c r="F321">
        <v>3799.99</v>
      </c>
      <c r="G321" s="1" t="str">
        <f>_xlfn.XLOOKUP(D321,category!A:A,category!B:B,"not found",0)</f>
        <v>Road Bikes</v>
      </c>
      <c r="H321" s="1">
        <f>(order_items!D321*order_items!E321)-order_items!F321</f>
        <v>1199.93</v>
      </c>
    </row>
    <row r="322" spans="1:8" x14ac:dyDescent="0.25">
      <c r="A322">
        <v>321</v>
      </c>
      <c r="B322" t="s">
        <v>301</v>
      </c>
      <c r="C322">
        <v>9</v>
      </c>
      <c r="D322">
        <v>7</v>
      </c>
      <c r="E322">
        <v>2019</v>
      </c>
      <c r="F322">
        <v>3199.99</v>
      </c>
      <c r="G322" s="1" t="str">
        <f>_xlfn.XLOOKUP(D322,category!A:A,category!B:B,"not found",0)</f>
        <v>Road Bikes</v>
      </c>
      <c r="H322" s="1">
        <f>(order_items!D322*order_items!E322)-order_items!F322</f>
        <v>539.88</v>
      </c>
    </row>
  </sheetData>
  <autoFilter ref="A1:H1" xr:uid="{067FE912-7ABD-4027-ADEE-E7A9379EC5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5B52-8728-4A51-A93C-563694C1D4C5}">
  <dimension ref="A1:B8"/>
  <sheetViews>
    <sheetView workbookViewId="0">
      <selection activeCell="C2" sqref="C2"/>
    </sheetView>
  </sheetViews>
  <sheetFormatPr defaultRowHeight="15" x14ac:dyDescent="0.25"/>
  <cols>
    <col min="1" max="1" width="11" bestFit="1" customWidth="1"/>
    <col min="2" max="2" width="18.42578125" bestFit="1" customWidth="1"/>
  </cols>
  <sheetData>
    <row r="1" spans="1:2" x14ac:dyDescent="0.25">
      <c r="A1" t="s">
        <v>9</v>
      </c>
      <c r="B1" t="s">
        <v>304</v>
      </c>
    </row>
    <row r="2" spans="1:2" x14ac:dyDescent="0.25">
      <c r="A2">
        <v>1</v>
      </c>
      <c r="B2" t="s">
        <v>305</v>
      </c>
    </row>
    <row r="3" spans="1:2" x14ac:dyDescent="0.25">
      <c r="A3">
        <v>2</v>
      </c>
      <c r="B3" t="s">
        <v>306</v>
      </c>
    </row>
    <row r="4" spans="1:2" x14ac:dyDescent="0.25">
      <c r="A4">
        <v>3</v>
      </c>
      <c r="B4" t="s">
        <v>307</v>
      </c>
    </row>
    <row r="5" spans="1:2" x14ac:dyDescent="0.25">
      <c r="A5">
        <v>4</v>
      </c>
      <c r="B5" t="s">
        <v>308</v>
      </c>
    </row>
    <row r="6" spans="1:2" x14ac:dyDescent="0.25">
      <c r="A6">
        <v>5</v>
      </c>
      <c r="B6" t="s">
        <v>309</v>
      </c>
    </row>
    <row r="7" spans="1:2" x14ac:dyDescent="0.25">
      <c r="A7">
        <v>6</v>
      </c>
      <c r="B7" t="s">
        <v>310</v>
      </c>
    </row>
    <row r="8" spans="1:2" x14ac:dyDescent="0.25">
      <c r="A8">
        <v>7</v>
      </c>
      <c r="B8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9434-B43C-475F-84A0-975BC6CD4E4B}">
  <dimension ref="A1:B9"/>
  <sheetViews>
    <sheetView workbookViewId="0">
      <selection activeCell="I19" sqref="I19"/>
    </sheetView>
  </sheetViews>
  <sheetFormatPr defaultRowHeight="15" x14ac:dyDescent="0.25"/>
  <cols>
    <col min="1" max="1" width="18.42578125" bestFit="1" customWidth="1"/>
    <col min="2" max="2" width="17.5703125" bestFit="1" customWidth="1"/>
  </cols>
  <sheetData>
    <row r="1" spans="1:2" x14ac:dyDescent="0.25">
      <c r="A1" s="2" t="s">
        <v>313</v>
      </c>
      <c r="B1" t="s">
        <v>315</v>
      </c>
    </row>
    <row r="2" spans="1:2" x14ac:dyDescent="0.25">
      <c r="A2" s="3" t="s">
        <v>305</v>
      </c>
      <c r="B2" s="4">
        <v>96886.829999999973</v>
      </c>
    </row>
    <row r="3" spans="1:2" x14ac:dyDescent="0.25">
      <c r="A3" s="3" t="s">
        <v>306</v>
      </c>
      <c r="B3" s="4">
        <v>47090.55999999999</v>
      </c>
    </row>
    <row r="4" spans="1:2" x14ac:dyDescent="0.25">
      <c r="A4" s="3" t="s">
        <v>307</v>
      </c>
      <c r="B4" s="4">
        <v>118050.4</v>
      </c>
    </row>
    <row r="5" spans="1:2" x14ac:dyDescent="0.25">
      <c r="A5" s="3" t="s">
        <v>308</v>
      </c>
      <c r="B5" s="4">
        <v>14213.999999999996</v>
      </c>
    </row>
    <row r="6" spans="1:2" x14ac:dyDescent="0.25">
      <c r="A6" s="3" t="s">
        <v>309</v>
      </c>
      <c r="B6" s="4">
        <v>20005.78</v>
      </c>
    </row>
    <row r="7" spans="1:2" x14ac:dyDescent="0.25">
      <c r="A7" s="3" t="s">
        <v>310</v>
      </c>
      <c r="B7" s="4">
        <v>87895.839999999967</v>
      </c>
    </row>
    <row r="8" spans="1:2" x14ac:dyDescent="0.25">
      <c r="A8" s="3" t="s">
        <v>311</v>
      </c>
      <c r="B8" s="4">
        <v>73152.909999999989</v>
      </c>
    </row>
    <row r="9" spans="1:2" x14ac:dyDescent="0.25">
      <c r="A9" s="3" t="s">
        <v>314</v>
      </c>
      <c r="B9" s="4">
        <v>457296.31999999989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order_items</vt:lpstr>
      <vt:lpstr>Product</vt:lpstr>
      <vt:lpstr>category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S0398474</cp:lastModifiedBy>
  <dcterms:created xsi:type="dcterms:W3CDTF">2026-07-04T13:20:52Z</dcterms:created>
  <dcterms:modified xsi:type="dcterms:W3CDTF">2026-07-08T12:31:43Z</dcterms:modified>
</cp:coreProperties>
</file>